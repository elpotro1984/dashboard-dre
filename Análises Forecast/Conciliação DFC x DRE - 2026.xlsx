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otivos" sheetId="2" state="visible" r:id="rId2"/>
    <sheet xmlns:r="http://schemas.openxmlformats.org/officeDocument/2006/relationships" name="DRE x Caixa por linha" sheetId="3" state="visible" r:id="rId3"/>
    <sheet xmlns:r="http://schemas.openxmlformats.org/officeDocument/2006/relationships" name="Ajustes sugeridos" sheetId="4" state="visible" r:id="rId4"/>
  </sheets>
  <definedNames>
    <definedName name="_xlnm._FilterDatabase" localSheetId="1" hidden="1">'Motivos'!$A$1:$I$51</definedName>
    <definedName name="_xlnm._FilterDatabase" localSheetId="2" hidden="1">'DRE x Caixa por linha'!$A$1:$L$87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#,##0;-#,##0;&quot;ok&quot;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164" fontId="1" fillId="0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3" customWidth="1" min="5" max="5"/>
    <col width="14" customWidth="1" min="6" max="6"/>
    <col width="14" customWidth="1" min="7" max="7"/>
    <col width="14" customWidth="1" min="8" max="8"/>
    <col width="70" customWidth="1" min="9" max="9"/>
  </cols>
  <sheetData>
    <row r="1">
      <c r="A1" s="1" t="inlineStr">
        <is>
          <t>Conciliação DFC × DRE — 1º a 3º trimestre de 2026</t>
        </is>
      </c>
    </row>
    <row r="2">
      <c r="A2" s="2" t="inlineStr">
        <is>
          <t>Diferença = caixa − competência, por conta, explicada motivo a motivo na aba Motivos. A conferência compara com a aba Calculos - V Eventos.</t>
        </is>
      </c>
    </row>
    <row r="4">
      <c r="A4" s="3" t="inlineStr">
        <is>
          <t>Conta (DFC)</t>
        </is>
      </c>
      <c r="B4" s="3" t="inlineStr">
        <is>
          <t>Dif. 1º tri</t>
        </is>
      </c>
      <c r="C4" s="3" t="inlineStr">
        <is>
          <t>Dif. 2º tri</t>
        </is>
      </c>
      <c r="D4" s="3" t="inlineStr">
        <is>
          <t>Dif. 3º tri</t>
        </is>
      </c>
      <c r="E4" s="3" t="inlineStr"/>
      <c r="F4" s="3" t="inlineStr">
        <is>
          <t>Conferência 1º</t>
        </is>
      </c>
      <c r="G4" s="3" t="inlineStr">
        <is>
          <t>Conferência 2º</t>
        </is>
      </c>
      <c r="H4" s="3" t="inlineStr">
        <is>
          <t>Conferência 3º</t>
        </is>
      </c>
      <c r="I4" s="3" t="inlineStr">
        <is>
          <t>Principais motivos</t>
        </is>
      </c>
    </row>
    <row r="5">
      <c r="A5" s="4" t="inlineStr">
        <is>
          <t>Contas a receber de clientes</t>
        </is>
      </c>
      <c r="B5" s="5">
        <f>SUMIFS(Motivos!D:D,Motivos!$A:$A,$A5)</f>
        <v/>
      </c>
      <c r="C5" s="5">
        <f>SUMIFS(Motivos!E:E,Motivos!$A:$A,$A5)</f>
        <v/>
      </c>
      <c r="D5" s="5">
        <f>SUMIFS(Motivos!F:F,Motivos!$A:$A,$A5)</f>
        <v/>
      </c>
      <c r="F5" s="6">
        <f>ROUND(B5-(-99757.5),0)</f>
        <v/>
      </c>
      <c r="G5" s="6">
        <f>ROUND(C5-(-536434.2),0)</f>
        <v/>
      </c>
      <c r="H5" s="6">
        <f>ROUND(D5-(173557.66),0)</f>
        <v/>
      </c>
      <c r="I5" s="7" t="inlineStr">
        <is>
          <t>Rendimento dos fundos entra bruto na DRE e líquido de IR no caixa (−R$ 222-238 mil/tri, compensa em Impostos); royalties de 2025 recebidos em jan e jul; festa de arrecadação de maio bruta na DRE (−R$ 206 mil no 2º tri, compensa em Despesas Diretas); R$ 134 mil de correções de 2024 ("TESTE MARINA") no 2º tri.</t>
        </is>
      </c>
    </row>
    <row r="6">
      <c r="A6" s="4" t="inlineStr">
        <is>
          <t>Ressarcíveis</t>
        </is>
      </c>
      <c r="B6" s="5">
        <f>SUMIFS(Motivos!D:D,Motivos!$A:$A,$A6)</f>
        <v/>
      </c>
      <c r="C6" s="5">
        <f>SUMIFS(Motivos!E:E,Motivos!$A:$A,$A6)</f>
        <v/>
      </c>
      <c r="D6" s="5">
        <f>SUMIFS(Motivos!F:F,Motivos!$A:$A,$A6)</f>
        <v/>
      </c>
      <c r="F6" s="6">
        <f>ROUND(B6-(12279.01),0)</f>
        <v/>
      </c>
      <c r="G6" s="6">
        <f>ROUND(C6-(14061.14),0)</f>
        <v/>
      </c>
      <c r="H6" s="6">
        <f>ROUND(D6-(23625.63),0)</f>
        <v/>
      </c>
      <c r="I6" s="7" t="inlineStr">
        <is>
          <t>Sem contrapartida na DRE (esperado: não é resultado).</t>
        </is>
      </c>
    </row>
    <row r="7">
      <c r="A7" s="4" t="inlineStr">
        <is>
          <t>Estorno de pagamentos</t>
        </is>
      </c>
      <c r="B7" s="5">
        <f>SUMIFS(Motivos!D:D,Motivos!$A:$A,$A7)</f>
        <v/>
      </c>
      <c r="C7" s="5">
        <f>SUMIFS(Motivos!E:E,Motivos!$A:$A,$A7)</f>
        <v/>
      </c>
      <c r="D7" s="5">
        <f>SUMIFS(Motivos!F:F,Motivos!$A:$A,$A7)</f>
        <v/>
      </c>
      <c r="F7" s="6">
        <f>ROUND(B7-(-228.02),0)</f>
        <v/>
      </c>
      <c r="G7" s="6">
        <f>ROUND(C7-(697.46),0)</f>
        <v/>
      </c>
      <c r="H7" s="6">
        <f>ROUND(D7-(2428.85),0)</f>
        <v/>
      </c>
      <c r="I7" s="7" t="inlineStr">
        <is>
          <t>Sem contrapartida na DRE (esperado: não é resultado).</t>
        </is>
      </c>
    </row>
    <row r="8">
      <c r="A8" s="4" t="inlineStr">
        <is>
          <t>Impostos e contribuições a recolher</t>
        </is>
      </c>
      <c r="B8" s="5">
        <f>SUMIFS(Motivos!D:D,Motivos!$A:$A,$A8)</f>
        <v/>
      </c>
      <c r="C8" s="5">
        <f>SUMIFS(Motivos!E:E,Motivos!$A:$A,$A8)</f>
        <v/>
      </c>
      <c r="D8" s="5">
        <f>SUMIFS(Motivos!F:F,Motivos!$A:$A,$A8)</f>
        <v/>
      </c>
      <c r="F8" s="6">
        <f>ROUND(B8-(111208.58),0)</f>
        <v/>
      </c>
      <c r="G8" s="6">
        <f>ROUND(C8-(196416.32),0)</f>
        <v/>
      </c>
      <c r="H8" s="6">
        <f>ROUND(D8-(198303.31),0)</f>
        <v/>
      </c>
      <c r="I8" s="7" t="inlineStr">
        <is>
          <t>IRPJ sobre rendimento dos fundos está na DRE mas é retido na fonte (+R$ 222-238 mil/tri); IRPJ/CSLL pago um trimestre depois; DAS de SPDX/Dataforte inclui o INSS delas; parcelamento antigo da SPDX.</t>
        </is>
      </c>
    </row>
    <row r="9">
      <c r="A9" s="4" t="inlineStr">
        <is>
          <t>Salários, provisões e encargos sociais</t>
        </is>
      </c>
      <c r="B9" s="5">
        <f>SUMIFS(Motivos!D:D,Motivos!$A:$A,$A9)</f>
        <v/>
      </c>
      <c r="C9" s="5">
        <f>SUMIFS(Motivos!E:E,Motivos!$A:$A,$A9)</f>
        <v/>
      </c>
      <c r="D9" s="5">
        <f>SUMIFS(Motivos!F:F,Motivos!$A:$A,$A9)</f>
        <v/>
      </c>
      <c r="F9" s="6">
        <f>ROUND(B9-(-60078.54),0)</f>
        <v/>
      </c>
      <c r="G9" s="6">
        <f>ROUND(C9-(248415.54),0)</f>
        <v/>
      </c>
      <c r="H9" s="6">
        <f>ROUND(D9-(-257657.96),0)</f>
        <v/>
      </c>
      <c r="I9" s="7" t="inlineStr">
        <is>
          <t>PLR e bônus pagos por semestre (jan/fev e jul) contra provisão mensal na DRE; 13º provisionado (+R$ 70 mil/tri); folha paga no mês seguinte.</t>
        </is>
      </c>
    </row>
    <row r="10">
      <c r="A10" s="4" t="inlineStr">
        <is>
          <t>Devoluções de Vendas</t>
        </is>
      </c>
      <c r="B10" s="5">
        <f>SUMIFS(Motivos!D:D,Motivos!$A:$A,$A10)</f>
        <v/>
      </c>
      <c r="C10" s="5">
        <f>SUMIFS(Motivos!E:E,Motivos!$A:$A,$A10)</f>
        <v/>
      </c>
      <c r="D10" s="5">
        <f>SUMIFS(Motivos!F:F,Motivos!$A:$A,$A10)</f>
        <v/>
      </c>
      <c r="F10" s="6">
        <f>ROUND(B10-(0.0),0)</f>
        <v/>
      </c>
      <c r="G10" s="6">
        <f>ROUND(C10-(120000.0),0)</f>
        <v/>
      </c>
      <c r="H10" s="6">
        <f>ROUND(D10-(0.0),0)</f>
        <v/>
      </c>
      <c r="I10" s="7" t="inlineStr">
        <is>
          <t>Devolução de R$ 120 mil na DRE de junho sem saída de caixa — a verificar.</t>
        </is>
      </c>
    </row>
    <row r="11">
      <c r="A11" s="4" t="inlineStr">
        <is>
          <t>Despesas Diretas</t>
        </is>
      </c>
      <c r="B11" s="5">
        <f>SUMIFS(Motivos!D:D,Motivos!$A:$A,$A11)</f>
        <v/>
      </c>
      <c r="C11" s="5">
        <f>SUMIFS(Motivos!E:E,Motivos!$A:$A,$A11)</f>
        <v/>
      </c>
      <c r="D11" s="5">
        <f>SUMIFS(Motivos!F:F,Motivos!$A:$A,$A11)</f>
        <v/>
      </c>
      <c r="F11" s="6">
        <f>ROUND(B11-(-31484.4),0)</f>
        <v/>
      </c>
      <c r="G11" s="6">
        <f>ROUND(C11-(210112.53),0)</f>
        <v/>
      </c>
      <c r="H11" s="6">
        <f>ROUND(D11-(-146718.7),0)</f>
        <v/>
      </c>
      <c r="I11" s="7" t="inlineStr">
        <is>
          <t>Custo da festa de maio bruto na DRE (+R$ 178 mil no 2º tri); Conviva 2026 pago acima do reconhecido (−R$ 107 mil no 3º tri); comissões em lote, inclusive da V Company.</t>
        </is>
      </c>
    </row>
    <row r="12">
      <c r="A12" s="4" t="inlineStr">
        <is>
          <t>Despesas Administrativas</t>
        </is>
      </c>
      <c r="B12" s="5">
        <f>SUMIFS(Motivos!D:D,Motivos!$A:$A,$A12)</f>
        <v/>
      </c>
      <c r="C12" s="5">
        <f>SUMIFS(Motivos!E:E,Motivos!$A:$A,$A12)</f>
        <v/>
      </c>
      <c r="D12" s="5">
        <f>SUMIFS(Motivos!F:F,Motivos!$A:$A,$A12)</f>
        <v/>
      </c>
      <c r="F12" s="6">
        <f>ROUND(B12-(29949.23),0)</f>
        <v/>
      </c>
      <c r="G12" s="6">
        <f>ROUND(C12-(43576.28),0)</f>
        <v/>
      </c>
      <c r="H12" s="6">
        <f>ROUND(D12-(-5136.24),0)</f>
        <v/>
      </c>
      <c r="I12" s="7" t="inlineStr">
        <is>
          <t>Softwares de jan na DRE acima do pago; aluguel pago no mês seguinte.</t>
        </is>
      </c>
    </row>
    <row r="13">
      <c r="A13" s="4" t="inlineStr">
        <is>
          <t>Vendas e Marketing</t>
        </is>
      </c>
      <c r="B13" s="5">
        <f>SUMIFS(Motivos!D:D,Motivos!$A:$A,$A13)</f>
        <v/>
      </c>
      <c r="C13" s="5">
        <f>SUMIFS(Motivos!E:E,Motivos!$A:$A,$A13)</f>
        <v/>
      </c>
      <c r="D13" s="5">
        <f>SUMIFS(Motivos!F:F,Motivos!$A:$A,$A13)</f>
        <v/>
      </c>
      <c r="F13" s="6">
        <f>ROUND(B13-(-20542.25),0)</f>
        <v/>
      </c>
      <c r="G13" s="6">
        <f>ROUND(C13-(-30211.35),0)</f>
        <v/>
      </c>
      <c r="H13" s="6">
        <f>ROUND(D13-(-278.16),0)</f>
        <v/>
      </c>
      <c r="I13" s="7" t="inlineStr">
        <is>
          <t>Categorias "Marketing (*)" e "Bonificações (*)" não aparecem na linha da DRE.</t>
        </is>
      </c>
    </row>
    <row r="14">
      <c r="A14" s="4" t="inlineStr">
        <is>
          <t>Receitas não operacionais</t>
        </is>
      </c>
      <c r="B14" s="5">
        <f>SUMIFS(Motivos!D:D,Motivos!$A:$A,$A14)</f>
        <v/>
      </c>
      <c r="C14" s="5">
        <f>SUMIFS(Motivos!E:E,Motivos!$A:$A,$A14)</f>
        <v/>
      </c>
      <c r="D14" s="5">
        <f>SUMIFS(Motivos!F:F,Motivos!$A:$A,$A14)</f>
        <v/>
      </c>
      <c r="F14" s="6">
        <f>ROUND(B14-(462.8),0)</f>
        <v/>
      </c>
      <c r="G14" s="6">
        <f>ROUND(C14-(-17702.63),0)</f>
        <v/>
      </c>
      <c r="H14" s="6">
        <f>ROUND(D14-(-51498.72),0)</f>
        <v/>
      </c>
      <c r="I14" s="7" t="inlineStr">
        <is>
          <t>Bloqueio judicial de R$ 64,7 mil em set lançado aqui.</t>
        </is>
      </c>
    </row>
    <row r="15">
      <c r="A15" s="4" t="inlineStr">
        <is>
          <t>Despesas Financeiras / Bancos</t>
        </is>
      </c>
      <c r="B15" s="5">
        <f>SUMIFS(Motivos!D:D,Motivos!$A:$A,$A15)</f>
        <v/>
      </c>
      <c r="C15" s="5">
        <f>SUMIFS(Motivos!E:E,Motivos!$A:$A,$A15)</f>
        <v/>
      </c>
      <c r="D15" s="5">
        <f>SUMIFS(Motivos!F:F,Motivos!$A:$A,$A15)</f>
        <v/>
      </c>
      <c r="F15" s="6">
        <f>ROUND(B15-(205.6),0)</f>
        <v/>
      </c>
      <c r="G15" s="6">
        <f>ROUND(C15-(-6851.97),0)</f>
        <v/>
      </c>
      <c r="H15" s="6">
        <f>ROUND(D15-(-2197.59),0)</f>
        <v/>
      </c>
      <c r="I15" s="7" t="inlineStr">
        <is>
          <t>IR sobre aplicações sem linha na DRE.</t>
        </is>
      </c>
    </row>
    <row r="16">
      <c r="A16" s="4" t="inlineStr">
        <is>
          <t>Doações</t>
        </is>
      </c>
      <c r="B16" s="5">
        <f>SUMIFS(Motivos!D:D,Motivos!$A:$A,$A16)</f>
        <v/>
      </c>
      <c r="C16" s="5">
        <f>SUMIFS(Motivos!E:E,Motivos!$A:$A,$A16)</f>
        <v/>
      </c>
      <c r="D16" s="5">
        <f>SUMIFS(Motivos!F:F,Motivos!$A:$A,$A16)</f>
        <v/>
      </c>
      <c r="F16" s="6">
        <f>ROUND(B16-(0.0),0)</f>
        <v/>
      </c>
      <c r="G16" s="6">
        <f>ROUND(C16-(0.0),0)</f>
        <v/>
      </c>
      <c r="H16" s="6">
        <f>ROUND(D16-(-10370.78),0)</f>
        <v/>
      </c>
      <c r="I16" s="7" t="inlineStr">
        <is>
          <t>Doações pagas pela V Company em set.</t>
        </is>
      </c>
    </row>
    <row r="17">
      <c r="A17" s="4" t="inlineStr">
        <is>
          <t>Dividendos Pagos</t>
        </is>
      </c>
      <c r="B17" s="5">
        <f>SUMIFS(Motivos!D:D,Motivos!$A:$A,$A17)</f>
        <v/>
      </c>
      <c r="C17" s="5">
        <f>SUMIFS(Motivos!E:E,Motivos!$A:$A,$A17)</f>
        <v/>
      </c>
      <c r="D17" s="5">
        <f>SUMIFS(Motivos!F:F,Motivos!$A:$A,$A17)</f>
        <v/>
      </c>
      <c r="F17" s="6">
        <f>ROUND(B17-(-385986.69),0)</f>
        <v/>
      </c>
      <c r="G17" s="6">
        <f>ROUND(C17-(-175775.42),0)</f>
        <v/>
      </c>
      <c r="H17" s="6">
        <f>ROUND(D17-(-933658.45),0)</f>
        <v/>
      </c>
      <c r="I17" s="7" t="inlineStr">
        <is>
          <t>Sem contrapartida na DRE (esperado: não é resultado).</t>
        </is>
      </c>
    </row>
    <row r="18">
      <c r="A18" s="4" t="inlineStr">
        <is>
          <t>P&amp;D</t>
        </is>
      </c>
      <c r="B18" s="5">
        <f>SUMIFS(Motivos!D:D,Motivos!$A:$A,$A18)</f>
        <v/>
      </c>
      <c r="C18" s="5">
        <f>SUMIFS(Motivos!E:E,Motivos!$A:$A,$A18)</f>
        <v/>
      </c>
      <c r="D18" s="5">
        <f>SUMIFS(Motivos!F:F,Motivos!$A:$A,$A18)</f>
        <v/>
      </c>
      <c r="F18" s="6">
        <f>ROUND(B18-(42.96),0)</f>
        <v/>
      </c>
      <c r="G18" s="6">
        <f>ROUND(C18-(2225.94),0)</f>
        <v/>
      </c>
      <c r="H18" s="6">
        <f>ROUND(D18-(364.45),0)</f>
        <v/>
      </c>
      <c r="I18" s="7" t="inlineStr">
        <is>
          <t>Só na DRE.</t>
        </is>
      </c>
    </row>
    <row r="19">
      <c r="A19" s="4" t="inlineStr">
        <is>
          <t>Aquisição de imobilizado e intangível</t>
        </is>
      </c>
      <c r="B19" s="5">
        <f>SUMIFS(Motivos!D:D,Motivos!$A:$A,$A19)</f>
        <v/>
      </c>
      <c r="C19" s="5">
        <f>SUMIFS(Motivos!E:E,Motivos!$A:$A,$A19)</f>
        <v/>
      </c>
      <c r="D19" s="5">
        <f>SUMIFS(Motivos!F:F,Motivos!$A:$A,$A19)</f>
        <v/>
      </c>
      <c r="F19" s="6">
        <f>ROUND(B19-(-8443.05),0)</f>
        <v/>
      </c>
      <c r="G19" s="6">
        <f>ROUND(C19-(-17902.2),0)</f>
        <v/>
      </c>
      <c r="H19" s="6">
        <f>ROUND(D19-(-10692.53),0)</f>
        <v/>
      </c>
      <c r="I19" s="7" t="inlineStr">
        <is>
          <t>Sem contrapartida na DRE (esperado: não é resultado).</t>
        </is>
      </c>
    </row>
    <row r="20">
      <c r="A20" s="4" t="inlineStr">
        <is>
          <t>Aumento de Capital</t>
        </is>
      </c>
      <c r="B20" s="5">
        <f>SUMIFS(Motivos!D:D,Motivos!$A:$A,$A20)</f>
        <v/>
      </c>
      <c r="C20" s="5">
        <f>SUMIFS(Motivos!E:E,Motivos!$A:$A,$A20)</f>
        <v/>
      </c>
      <c r="D20" s="5">
        <f>SUMIFS(Motivos!F:F,Motivos!$A:$A,$A20)</f>
        <v/>
      </c>
      <c r="F20" s="6">
        <f>ROUND(B20-(37175.2),0)</f>
        <v/>
      </c>
      <c r="G20" s="6">
        <f>ROUND(C20-(0.0),0)</f>
        <v/>
      </c>
      <c r="H20" s="6">
        <f>ROUND(D20-(0.0),0)</f>
        <v/>
      </c>
      <c r="I20" s="7" t="inlineStr">
        <is>
          <t>Sem contrapartida na DRE (esperado: não é resultado).</t>
        </is>
      </c>
    </row>
    <row r="21">
      <c r="A21" s="4" t="inlineStr">
        <is>
          <t>Outras despesas</t>
        </is>
      </c>
      <c r="B21" s="5">
        <f>SUMIFS(Motivos!D:D,Motivos!$A:$A,$A21)</f>
        <v/>
      </c>
      <c r="C21" s="5">
        <f>SUMIFS(Motivos!E:E,Motivos!$A:$A,$A21)</f>
        <v/>
      </c>
      <c r="D21" s="5">
        <f>SUMIFS(Motivos!F:F,Motivos!$A:$A,$A21)</f>
        <v/>
      </c>
      <c r="F21" s="6">
        <f>ROUND(B21-(0.0),0)</f>
        <v/>
      </c>
      <c r="G21" s="6">
        <f>ROUND(C21-(0.0),0)</f>
        <v/>
      </c>
      <c r="H21" s="6">
        <f>ROUND(D21-(16511.94),0)</f>
        <v/>
      </c>
      <c r="I21" s="7" t="inlineStr">
        <is>
          <t>Sem contrapartida na DRE (esperado: não é resultado).</t>
        </is>
      </c>
    </row>
    <row r="22">
      <c r="A22" s="4" t="inlineStr">
        <is>
          <t>Mútuos</t>
        </is>
      </c>
      <c r="B22" s="5">
        <f>SUMIFS(Motivos!D:D,Motivos!$A:$A,$A22)</f>
        <v/>
      </c>
      <c r="C22" s="5">
        <f>SUMIFS(Motivos!E:E,Motivos!$A:$A,$A22)</f>
        <v/>
      </c>
      <c r="D22" s="5">
        <f>SUMIFS(Motivos!F:F,Motivos!$A:$A,$A22)</f>
        <v/>
      </c>
      <c r="F22" s="6">
        <f>ROUND(B22-(73446.43),0)</f>
        <v/>
      </c>
      <c r="G22" s="6">
        <f>ROUND(C22-(15263.71),0)</f>
        <v/>
      </c>
      <c r="H22" s="6">
        <f>ROUND(D22-(232622.81),0)</f>
        <v/>
      </c>
      <c r="I22" s="7" t="inlineStr">
        <is>
          <t>Sem contrapartida na DRE (esperado: não é resultado).</t>
        </is>
      </c>
    </row>
    <row r="23">
      <c r="A23" s="4" t="inlineStr">
        <is>
          <t>Dividendos recebidos</t>
        </is>
      </c>
      <c r="B23" s="5">
        <f>SUMIFS(Motivos!D:D,Motivos!$A:$A,$A23)</f>
        <v/>
      </c>
      <c r="C23" s="5">
        <f>SUMIFS(Motivos!E:E,Motivos!$A:$A,$A23)</f>
        <v/>
      </c>
      <c r="D23" s="5">
        <f>SUMIFS(Motivos!F:F,Motivos!$A:$A,$A23)</f>
        <v/>
      </c>
      <c r="F23" s="6">
        <f>ROUND(B23-(0.0),0)</f>
        <v/>
      </c>
      <c r="G23" s="6">
        <f>ROUND(C23-(60000.0),0)</f>
        <v/>
      </c>
      <c r="H23" s="6">
        <f>ROUND(D23-(49000.0),0)</f>
        <v/>
      </c>
      <c r="I23" s="7" t="inlineStr">
        <is>
          <t>Sem contrapartida na DRE (esperado: não é resultado).</t>
        </is>
      </c>
    </row>
    <row r="24">
      <c r="A24" s="8" t="inlineStr">
        <is>
          <t>Total (= aumento/redução de caixa − lucro)</t>
        </is>
      </c>
      <c r="B24" s="9">
        <f>SUM(B5:B23)</f>
        <v/>
      </c>
      <c r="C24" s="9">
        <f>SUM(C5:C23)</f>
        <v/>
      </c>
      <c r="D24" s="9">
        <f>SUM(D5:D23)</f>
        <v/>
      </c>
    </row>
    <row r="26">
      <c r="A26" s="8" t="inlineStr">
        <is>
          <t>Por tipo de motivo</t>
        </is>
      </c>
    </row>
    <row r="27">
      <c r="A27" s="10" t="inlineStr">
        <is>
          <t>Tipo</t>
        </is>
      </c>
      <c r="B27" s="10" t="inlineStr">
        <is>
          <t>Dif. 1º tri</t>
        </is>
      </c>
      <c r="C27" s="10" t="inlineStr">
        <is>
          <t>Dif. 2º tri</t>
        </is>
      </c>
      <c r="D27" s="10" t="inlineStr">
        <is>
          <t>Dif. 3º tri</t>
        </is>
      </c>
    </row>
    <row r="28">
      <c r="A28" s="4" t="inlineStr">
        <is>
          <t>Prazo</t>
        </is>
      </c>
      <c r="B28" s="5">
        <f>SUMIFS(Motivos!D:D,Motivos!$C:$C,$A28)</f>
        <v/>
      </c>
      <c r="C28" s="5">
        <f>SUMIFS(Motivos!E:E,Motivos!$C:$C,$A28)</f>
        <v/>
      </c>
      <c r="D28" s="5">
        <f>SUMIFS(Motivos!F:F,Motivos!$C:$C,$A28)</f>
        <v/>
      </c>
      <c r="I28" s="11" t="inlineStr">
        <is>
          <t>Competência × caixa: o mesmo valor cai em trimestres diferentes. É a variação de capital de giro que o DFC indireto existe para mostrar.</t>
        </is>
      </c>
    </row>
    <row r="29">
      <c r="A29" s="4" t="inlineStr">
        <is>
          <t>Provisão da DRE</t>
        </is>
      </c>
      <c r="B29" s="5">
        <f>SUMIFS(Motivos!D:D,Motivos!$C:$C,$A29)</f>
        <v/>
      </c>
      <c r="C29" s="5">
        <f>SUMIFS(Motivos!E:E,Motivos!$C:$C,$A29)</f>
        <v/>
      </c>
      <c r="D29" s="5">
        <f>SUMIFS(Motivos!F:F,Motivos!$C:$C,$A29)</f>
        <v/>
      </c>
      <c r="I29" s="11" t="inlineStr">
        <is>
          <t>13º e férias provisionados mês a mês, pagos depois.</t>
        </is>
      </c>
    </row>
    <row r="30">
      <c r="A30" s="4" t="inlineStr">
        <is>
          <t>Bruto × líquido</t>
        </is>
      </c>
      <c r="B30" s="5">
        <f>SUMIFS(Motivos!D:D,Motivos!$C:$C,$A30)</f>
        <v/>
      </c>
      <c r="C30" s="5">
        <f>SUMIFS(Motivos!E:E,Motivos!$C:$C,$A30)</f>
        <v/>
      </c>
      <c r="D30" s="5">
        <f>SUMIFS(Motivos!F:F,Motivos!$C:$C,$A30)</f>
        <v/>
      </c>
      <c r="I30" s="11" t="inlineStr">
        <is>
          <t>Rendimento dos fundos e festa de maio: bruto na DRE, líquido no caixa. As contas se compensam entre si.</t>
        </is>
      </c>
    </row>
    <row r="31">
      <c r="A31" s="4" t="inlineStr">
        <is>
          <t>Classificação</t>
        </is>
      </c>
      <c r="B31" s="5">
        <f>SUMIFS(Motivos!D:D,Motivos!$C:$C,$A31)</f>
        <v/>
      </c>
      <c r="C31" s="5">
        <f>SUMIFS(Motivos!E:E,Motivos!$C:$C,$A31)</f>
        <v/>
      </c>
      <c r="D31" s="5">
        <f>SUMIFS(Motivos!F:F,Motivos!$C:$C,$A31)</f>
        <v/>
      </c>
      <c r="I31" s="11" t="inlineStr">
        <is>
          <t>Item em vínculo diferente da linha equivalente da DRE, ou categoria sem mapeamento.</t>
        </is>
      </c>
    </row>
    <row r="32">
      <c r="A32" s="4" t="inlineStr">
        <is>
          <t>Não é caixa do período</t>
        </is>
      </c>
      <c r="B32" s="5">
        <f>SUMIFS(Motivos!D:D,Motivos!$C:$C,$A32)</f>
        <v/>
      </c>
      <c r="C32" s="5">
        <f>SUMIFS(Motivos!E:E,Motivos!$C:$C,$A32)</f>
        <v/>
      </c>
      <c r="D32" s="5">
        <f>SUMIFS(Motivos!F:F,Motivos!$C:$C,$A32)</f>
        <v/>
      </c>
      <c r="I32" s="11" t="inlineStr">
        <is>
          <t>Correções de saldo de 2024 lançadas em abr/2026.</t>
        </is>
      </c>
    </row>
    <row r="33">
      <c r="A33" s="4" t="inlineStr">
        <is>
          <t>Escopo (V Company)</t>
        </is>
      </c>
      <c r="B33" s="5">
        <f>SUMIFS(Motivos!D:D,Motivos!$C:$C,$A33)</f>
        <v/>
      </c>
      <c r="C33" s="5">
        <f>SUMIFS(Motivos!E:E,Motivos!$C:$C,$A33)</f>
        <v/>
      </c>
      <c r="D33" s="5">
        <f>SUMIFS(Motivos!F:F,Motivos!$C:$C,$A33)</f>
        <v/>
      </c>
      <c r="I33" s="11" t="inlineStr">
        <is>
          <t>Pagamentos da V Company que a DRE não acompanha.</t>
        </is>
      </c>
    </row>
    <row r="34">
      <c r="A34" s="4" t="inlineStr">
        <is>
          <t>A verificar</t>
        </is>
      </c>
      <c r="B34" s="5">
        <f>SUMIFS(Motivos!D:D,Motivos!$C:$C,$A34)</f>
        <v/>
      </c>
      <c r="C34" s="5">
        <f>SUMIFS(Motivos!E:E,Motivos!$C:$C,$A34)</f>
        <v/>
      </c>
      <c r="D34" s="5">
        <f>SUMIFS(Motivos!F:F,Motivos!$C:$C,$A34)</f>
        <v/>
      </c>
      <c r="I34" s="11" t="inlineStr">
        <is>
          <t>Diferenças que dependem de confirmação (ver aba Motivos).</t>
        </is>
      </c>
    </row>
    <row r="35">
      <c r="A35" s="4" t="inlineStr">
        <is>
          <t>Sem DRE (por natureza)</t>
        </is>
      </c>
      <c r="B35" s="5">
        <f>SUMIFS(Motivos!D:D,Motivos!$C:$C,$A35)</f>
        <v/>
      </c>
      <c r="C35" s="5">
        <f>SUMIFS(Motivos!E:E,Motivos!$C:$C,$A35)</f>
        <v/>
      </c>
      <c r="D35" s="5">
        <f>SUMIFS(Motivos!F:F,Motivos!$C:$C,$A35)</f>
        <v/>
      </c>
      <c r="I35" s="11" t="inlineStr">
        <is>
          <t>Dividendos, mútuos, imobilizado, capital, parcelamento, bloqueio judicial: não são resultado.</t>
        </is>
      </c>
    </row>
    <row r="36">
      <c r="A36" s="8" t="inlineStr">
        <is>
          <t>Total</t>
        </is>
      </c>
      <c r="B36" s="9">
        <f>SUM(B28:B35)</f>
        <v/>
      </c>
      <c r="C36" s="9">
        <f>SUM(C28:C35)</f>
        <v/>
      </c>
      <c r="D36" s="9">
        <f>SUM(D28:D35)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90" customWidth="1" min="8" max="8"/>
    <col width="46" customWidth="1" min="9" max="9"/>
  </cols>
  <sheetData>
    <row r="1">
      <c r="A1" s="3" t="inlineStr">
        <is>
          <t>Conta (DFC)</t>
        </is>
      </c>
      <c r="B1" s="3" t="inlineStr">
        <is>
          <t>Motivo</t>
        </is>
      </c>
      <c r="C1" s="3" t="inlineStr">
        <is>
          <t>Tipo</t>
        </is>
      </c>
      <c r="D1" s="3" t="inlineStr">
        <is>
          <t>Dif. 1º tri</t>
        </is>
      </c>
      <c r="E1" s="3" t="inlineStr">
        <is>
          <t>Dif. 2º tri</t>
        </is>
      </c>
      <c r="F1" s="3" t="inlineStr">
        <is>
          <t>Dif. 3º tri</t>
        </is>
      </c>
      <c r="G1" s="3" t="inlineStr">
        <is>
          <t>Total</t>
        </is>
      </c>
      <c r="H1" s="3" t="inlineStr">
        <is>
          <t>O que explica</t>
        </is>
      </c>
      <c r="I1" s="3" t="inlineStr">
        <is>
          <t>O que fazer</t>
        </is>
      </c>
    </row>
    <row r="2">
      <c r="A2" s="12" t="inlineStr">
        <is>
          <t>Contas a receber de clientes</t>
        </is>
      </c>
      <c r="B2" s="7" t="inlineStr">
        <is>
          <t>Rendimento dos fundos (Receita SPDX): IR retido na fonte</t>
        </is>
      </c>
      <c r="C2" s="12" t="inlineStr">
        <is>
          <t>Bruto × líquido</t>
        </is>
      </c>
      <c r="D2" s="13" t="n">
        <v>-222036.33</v>
      </c>
      <c r="E2" s="13" t="n">
        <v>-236273.64</v>
      </c>
      <c r="F2" s="13" t="n">
        <v>-237894.64</v>
      </c>
      <c r="G2" s="13">
        <f>SUM(D2:F2)</f>
        <v/>
      </c>
      <c r="H2" s="7" t="inlineStr">
        <is>
          <t>A DRE reconhece o rendimento BRUTO dos fundos de formatura ("Receita SPDX") e lança o IR à parte ("IRPJ - Rendimentos", ~16,3% todo mês). No caixa o rendimento chega LÍQUIDO (saque da conta Unificada para a SPDX), então o IR nunca aparece como pagamento. Compensa exatamente a diferença positiva da conta Impostos.</t>
        </is>
      </c>
      <c r="I2" s="7" t="inlineStr">
        <is>
          <t>Nada a corrigir; ler junto com Impostos (o efeito líquido das duas é zero).</t>
        </is>
      </c>
    </row>
    <row r="3">
      <c r="A3" s="12" t="inlineStr">
        <is>
          <t>Contas a receber de clientes</t>
        </is>
      </c>
      <c r="B3" s="7" t="inlineStr">
        <is>
          <t>Royalties de competência 2025 recebidos em 2026</t>
        </is>
      </c>
      <c r="C3" s="12" t="inlineStr">
        <is>
          <t>Prazo</t>
        </is>
      </c>
      <c r="D3" s="13" t="n">
        <v>169985.07</v>
      </c>
      <c r="E3" s="13" t="n">
        <v>16097.98</v>
      </c>
      <c r="F3" s="13" t="n">
        <v>90347.89999999999</v>
      </c>
      <c r="G3" s="13">
        <f>SUM(D3:F3)</f>
        <v/>
      </c>
      <c r="H3" s="7" t="inlineStr">
        <is>
          <t>Recebimentos de royalties cuja observação cita competência de 2025 (ex.: "TIT. LIQUIDADO DE DEZEMBRO DE 2025", "COMPETÊNCIA SETEMBRO, OUTUBRO, NOVEMBRO DE 2025"). Já estavam na DRE de 2025; entram no caixa de 2026. É o mínimo identificável: a maioria dos recebimentos está com observação "N/D".</t>
        </is>
      </c>
      <c r="I3" s="7" t="inlineStr">
        <is>
          <t>Nada a corrigir.</t>
        </is>
      </c>
    </row>
    <row r="4">
      <c r="A4" s="12" t="inlineStr">
        <is>
          <t>Contas a receber de clientes</t>
        </is>
      </c>
      <c r="B4" s="7" t="inlineStr">
        <is>
          <t>Festa de arrecadação de maio contabilizada bruta</t>
        </is>
      </c>
      <c r="C4" s="12" t="inlineStr">
        <is>
          <t>Bruto × líquido</t>
        </is>
      </c>
      <c r="D4" s="13" t="n">
        <v>2034.07</v>
      </c>
      <c r="E4" s="13" t="n">
        <v>-205790.53</v>
      </c>
      <c r="F4" s="13" t="n">
        <v>48341.33</v>
      </c>
      <c r="G4" s="13">
        <f>SUM(D4:F4)</f>
        <v/>
      </c>
      <c r="H4" s="7" t="inlineStr">
        <is>
          <t>A DRE de maio tem R$ 263,5 mil de receita e R$ 188,6 mil de custo de festa de arrecadação. No caixa das empresas entrou só a margem (~R$ 69 mil, Dataforte em jun): receita e custo passaram pelas contas do fundo. Compensa a diferença positiva de Despesas Diretas.</t>
        </is>
      </c>
      <c r="I4" s="7" t="inlineStr">
        <is>
          <t>Nada a corrigir; ler junto com Despesas Diretas.</t>
        </is>
      </c>
    </row>
    <row r="5">
      <c r="A5" s="12" t="inlineStr">
        <is>
          <t>Contas a receber de clientes</t>
        </is>
      </c>
      <c r="B5" s="7" t="inlineStr">
        <is>
          <t>Royalties: demais diferenças de prazo (faturado × recebido)</t>
        </is>
      </c>
      <c r="C5" s="12" t="inlineStr">
        <is>
          <t>Prazo</t>
        </is>
      </c>
      <c r="D5" s="13" t="n">
        <v>2456.92</v>
      </c>
      <c r="E5" s="13" t="n">
        <v>-82095.67999999999</v>
      </c>
      <c r="F5" s="13" t="n">
        <v>158481.79</v>
      </c>
      <c r="G5" s="13">
        <f>SUM(D5:F5)</f>
        <v/>
      </c>
      <c r="H5" s="7" t="inlineStr">
        <is>
          <t>Royalty recorrente (4,7% dos títulos liquidados) é reconhecido na competência e recebido com atraso; no 2º tri o recebido ficou abaixo do reconhecido e foi recuperado no 3º. Inclui royalties recebidos pela V Company (R$ 68/66/26 mil por tri).</t>
        </is>
      </c>
      <c r="I5" s="7" t="inlineStr">
        <is>
          <t>Nada a corrigir; acompanhar o saldo a receber de royalties.</t>
        </is>
      </c>
    </row>
    <row r="6">
      <c r="A6" s="12" t="inlineStr">
        <is>
          <t>Contas a receber de clientes</t>
        </is>
      </c>
      <c r="B6" s="7" t="inlineStr">
        <is>
          <t>Receitas sem linha na DRE lançadas como "Contas a receber"</t>
        </is>
      </c>
      <c r="C6" s="12" t="inlineStr">
        <is>
          <t>Classificação</t>
        </is>
      </c>
      <c r="D6" s="13" t="n">
        <v>34059.33</v>
      </c>
      <c r="E6" s="13" t="n">
        <v>30118.11</v>
      </c>
      <c r="F6" s="13" t="n">
        <v>92361.86</v>
      </c>
      <c r="G6" s="13">
        <f>SUM(D6:F6)</f>
        <v/>
      </c>
      <c r="H6" s="7" t="inlineStr">
        <is>
          <t>Rendimentos de aplicações financeiras (R$ 23/25/35 mil), "Serviços prestados a fornecedores da rede" (R$ 56 mil em ago-set) e "Receita não operacional (inativa)" da V Company. Não são recebimento de cliente.</t>
        </is>
      </c>
      <c r="I6" s="7" t="inlineStr">
        <is>
          <t>Reclassificar rendimentos de aplicação para um vínculo próprio (resultado financeiro).</t>
        </is>
      </c>
    </row>
    <row r="7">
      <c r="A7" s="12" t="inlineStr">
        <is>
          <t>Contas a receber de clientes</t>
        </is>
      </c>
      <c r="B7" s="7" t="inlineStr">
        <is>
          <t>Markup de tarifas recebido no mês seguinte</t>
        </is>
      </c>
      <c r="C7" s="12" t="inlineStr">
        <is>
          <t>Prazo</t>
        </is>
      </c>
      <c r="D7" s="13" t="n">
        <v>-81491.56</v>
      </c>
      <c r="E7" s="13" t="n">
        <v>-14857.99</v>
      </c>
      <c r="F7" s="13" t="n">
        <v>46614.09</v>
      </c>
      <c r="G7" s="13">
        <f>SUM(D7:F7)</f>
        <v/>
      </c>
      <c r="H7" s="7" t="inlineStr">
        <is>
          <t>O markup de um mês é recebido (pela Dataforte) exatamente no mês seguinte: o caixa de fev (R$ 175.537) é a competência de jan. Cada trimestre de caixa carrega o último mês do trimestre anterior.</t>
        </is>
      </c>
      <c r="I7" s="7" t="inlineStr">
        <is>
          <t>Nada a corrigir.</t>
        </is>
      </c>
    </row>
    <row r="8">
      <c r="A8" s="12" t="inlineStr">
        <is>
          <t>Contas a receber de clientes</t>
        </is>
      </c>
      <c r="B8" s="7" t="inlineStr">
        <is>
          <t>Taxas de franquia (inicial e renovação)</t>
        </is>
      </c>
      <c r="C8" s="12" t="inlineStr">
        <is>
          <t>A verificar</t>
        </is>
      </c>
      <c r="D8" s="13" t="n">
        <v>78250</v>
      </c>
      <c r="E8" s="13" t="n">
        <v>41511.01</v>
      </c>
      <c r="F8" s="13" t="n">
        <v>20150</v>
      </c>
      <c r="G8" s="13">
        <f>SUM(D8:F8)</f>
        <v/>
      </c>
      <c r="H8" s="7" t="inlineStr">
        <is>
          <t>A DRE só reconheceu taxa de franquia em set (R$ 60 mil). O caixa recebeu parcelas de taxas iniciais de contratos anteriores (R$ 3.250/mês + parcelas avulsas) e R$ 60 mil de RENOVAÇÕES (jan, fev, mai, set) — a linha "Renovação de Franquias" da DRE está zerada o ano todo.</t>
        </is>
      </c>
      <c r="I8" s="7" t="inlineStr">
        <is>
          <t>Confirmar se a renovação deveria estar na DRE de 2026.</t>
        </is>
      </c>
    </row>
    <row r="9">
      <c r="A9" s="12" t="inlineStr">
        <is>
          <t>Contas a receber de clientes</t>
        </is>
      </c>
      <c r="B9" s="7" t="inlineStr">
        <is>
          <t>Correções de saldo de cartão de 2024 ("TESTE MARINA")</t>
        </is>
      </c>
      <c r="C9" s="12" t="inlineStr">
        <is>
          <t>Não é caixa do período</t>
        </is>
      </c>
      <c r="D9" s="13" t="n">
        <v>0</v>
      </c>
      <c r="E9" s="13" t="n">
        <v>-134474.42</v>
      </c>
      <c r="F9" s="13" t="n">
        <v>0</v>
      </c>
      <c r="G9" s="13">
        <f>SUM(D9:F9)</f>
        <v/>
      </c>
      <c r="H9" s="7" t="inlineStr">
        <is>
          <t>Sete lançamentos de abr/2026 na V Company (Cartão Vitor Santander / Vitor PF Santander) que corrigem diferenças de faturas de 2024 ("diferença lançada na data de hoje para correção do saldo"). Não é movimento de caixa de 2026.</t>
        </is>
      </c>
      <c r="I9" s="7" t="inlineStr">
        <is>
          <t>Excluir do DFC de 2026 (ou mover para ajuste de saldo inicial).</t>
        </is>
      </c>
    </row>
    <row r="10">
      <c r="A10" s="12" t="inlineStr">
        <is>
          <t>Contas a receber de clientes</t>
        </is>
      </c>
      <c r="B10" s="7" t="inlineStr">
        <is>
          <t>Rendimento dos fundos: saque no mês seguinte</t>
        </is>
      </c>
      <c r="C10" s="12" t="inlineStr">
        <is>
          <t>Prazo</t>
        </is>
      </c>
      <c r="D10" s="13" t="n">
        <v>-108629.75</v>
      </c>
      <c r="E10" s="13" t="n">
        <v>18342.05</v>
      </c>
      <c r="F10" s="13" t="n">
        <v>1493.2</v>
      </c>
      <c r="G10" s="13">
        <f>SUM(D10:F10)</f>
        <v/>
      </c>
      <c r="H10" s="7" t="inlineStr">
        <is>
          <t>O rendimento do mês M é sacado em M+1 ou depois (dez/25 sacado em jan; mar sacado em abr; jun sacado em ago; set ainda não sacado). Inclui os R$ 31,6 mil/mês que entram pela V Company ("Conciliação saque de rendimento"). Somando as duas partes, o saque bate 98-99% do rendimento líquido da DRE, mês a mês.</t>
        </is>
      </c>
      <c r="I10" s="7" t="inlineStr">
        <is>
          <t>Nada a corrigir (é variação de capital de giro).</t>
        </is>
      </c>
    </row>
    <row r="11">
      <c r="A11" s="12" t="inlineStr">
        <is>
          <t>Contas a receber de clientes</t>
        </is>
      </c>
      <c r="B11" s="7" t="inlineStr">
        <is>
          <t>Fundo de Marketing, Taxa Mundo Viva, Assessoria CSC e Projetos</t>
        </is>
      </c>
      <c r="C11" s="12" t="inlineStr">
        <is>
          <t>Prazo</t>
        </is>
      </c>
      <c r="D11" s="13" t="n">
        <v>25614.75</v>
      </c>
      <c r="E11" s="13" t="n">
        <v>32538.98</v>
      </c>
      <c r="F11" s="13" t="n">
        <v>32413.93</v>
      </c>
      <c r="G11" s="13">
        <f>SUM(D11:F11)</f>
        <v/>
      </c>
      <c r="H11" s="7" t="inlineStr">
        <is>
          <t>Pequenas diferenças de prazo e alguns recebimentos da V Company (assessoria, taxa) que não estão na DRE.</t>
        </is>
      </c>
      <c r="I11" s="7" t="inlineStr">
        <is>
          <t>Nada a corrigir.</t>
        </is>
      </c>
    </row>
    <row r="12">
      <c r="A12" s="12" t="inlineStr">
        <is>
          <t>Contas a receber de clientes</t>
        </is>
      </c>
      <c r="B12" s="7" t="inlineStr">
        <is>
          <t>Outras transferências sem contrapartida</t>
        </is>
      </c>
      <c r="C12" s="12" t="inlineStr">
        <is>
          <t>A verificar</t>
        </is>
      </c>
      <c r="D12" s="13" t="n">
        <v>0</v>
      </c>
      <c r="E12" s="13" t="n">
        <v>-1550.07</v>
      </c>
      <c r="F12" s="13" t="n">
        <v>-78751.78999999999</v>
      </c>
      <c r="G12" s="13">
        <f>SUM(D12:F12)</f>
        <v/>
      </c>
      <c r="H12" s="7" t="inlineStr">
        <is>
          <t>3º tri: PIX de R$ 85 mil enviado pela V E em 16/07 ("PIX ENVIADO ... V EVENTOS BRASIL LTDA") sem a entrada correspondente; ida e volta de R$ 600 mil com a conta Unificada XP/Sicoob (sobra R$ 8,3 mil de distribuição de sobras do Sicoob); depósito de R$ 1 mil na conta garantia do Omie.CASH. 2º tri: R$ 1,5 mil Efi → SOS.</t>
        </is>
      </c>
      <c r="I12" s="7" t="inlineStr">
        <is>
          <t>Localizar a conta de destino do PIX de R$ 85 mil; se for conta do grupo fora do escopo, tratar como transferência.</t>
        </is>
      </c>
    </row>
    <row r="13">
      <c r="A13" s="12" t="inlineStr">
        <is>
          <t>Ressarcíveis</t>
        </is>
      </c>
      <c r="B13" s="7" t="inlineStr">
        <is>
          <t>Despesas pagas em nome dos franqueados e reembolsadas</t>
        </is>
      </c>
      <c r="C13" s="12" t="inlineStr">
        <is>
          <t>Sem DRE (por natureza)</t>
        </is>
      </c>
      <c r="D13" s="13" t="n">
        <v>12279.01</v>
      </c>
      <c r="E13" s="13" t="n">
        <v>14061.14</v>
      </c>
      <c r="F13" s="13" t="n">
        <v>23625.63</v>
      </c>
      <c r="G13" s="13">
        <f>SUM(D13:F13)</f>
        <v/>
      </c>
      <c r="H13" s="7" t="inlineStr">
        <is>
          <t>Softwares e outras despesas pagas pela rede e reembolsadas pelos franqueados. O reembolsado supera o pago (R$ 12/14/24 mil por tri).</t>
        </is>
      </c>
      <c r="I13" s="7" t="inlineStr">
        <is>
          <t>Nada a corrigir.</t>
        </is>
      </c>
    </row>
    <row r="14">
      <c r="A14" s="12" t="inlineStr">
        <is>
          <t>Estorno de pagamentos</t>
        </is>
      </c>
      <c r="B14" s="7" t="inlineStr">
        <is>
          <t>Estornos de pagamento</t>
        </is>
      </c>
      <c r="C14" s="12" t="inlineStr">
        <is>
          <t>Sem DRE (por natureza)</t>
        </is>
      </c>
      <c r="D14" s="13" t="n">
        <v>-228.02</v>
      </c>
      <c r="E14" s="13" t="n">
        <v>697.46</v>
      </c>
      <c r="F14" s="13" t="n">
        <v>2428.85</v>
      </c>
      <c r="G14" s="13">
        <f>SUM(D14:F14)</f>
        <v/>
      </c>
      <c r="H14" s="7" t="inlineStr">
        <is>
          <t>Entradas e saídas de estorno quase se anulam (no 3º tri foram R$ 1,08 mi de cada lado).</t>
        </is>
      </c>
      <c r="I14" s="7" t="inlineStr">
        <is>
          <t>Nada a corrigir.</t>
        </is>
      </c>
    </row>
    <row r="15">
      <c r="A15" s="12" t="inlineStr">
        <is>
          <t>Impostos e contribuições a recolher</t>
        </is>
      </c>
      <c r="B15" s="7" t="inlineStr">
        <is>
          <t>IRPJ sobre rendimento dos fundos (retido na fonte)</t>
        </is>
      </c>
      <c r="C15" s="12" t="inlineStr">
        <is>
          <t>Bruto × líquido</t>
        </is>
      </c>
      <c r="D15" s="13" t="n">
        <v>222036.33</v>
      </c>
      <c r="E15" s="13" t="n">
        <v>236273.64</v>
      </c>
      <c r="F15" s="13" t="n">
        <v>237894.64</v>
      </c>
      <c r="G15" s="13">
        <f>SUM(D15:F15)</f>
        <v/>
      </c>
      <c r="H15" s="7" t="inlineStr">
        <is>
          <t>Linha "IRPJ - Rendimentos" da DRE (~16,3% da Receita SPDX). O imposto é retido no próprio rendimento e não sai do caixa da empresa. É a contrapartida do primeiro motivo de Contas a receber.</t>
        </is>
      </c>
      <c r="I15" s="7" t="inlineStr">
        <is>
          <t>Nada a corrigir; ler junto com Contas a receber.</t>
        </is>
      </c>
    </row>
    <row r="16">
      <c r="A16" s="12" t="inlineStr">
        <is>
          <t>Impostos e contribuições a recolher</t>
        </is>
      </c>
      <c r="B16" s="7" t="inlineStr">
        <is>
          <t>DAS da SPDX e Dataforte (inclui o INSS delas)</t>
        </is>
      </c>
      <c r="C16" s="12" t="inlineStr">
        <is>
          <t>Classificação</t>
        </is>
      </c>
      <c r="D16" s="13" t="n">
        <v>-78060.53999999999</v>
      </c>
      <c r="E16" s="13" t="n">
        <v>-30457.14</v>
      </c>
      <c r="F16" s="13" t="n">
        <v>-64447.04</v>
      </c>
      <c r="G16" s="13">
        <f>SUM(D16:F16)</f>
        <v/>
      </c>
      <c r="H16" s="7" t="inlineStr">
        <is>
          <t>A DRE calcula PIS/COFINS/ISS/IRPJ/CSLL da SPDX e da Dataforte separadamente e lança o INSS delas em Despesas com Pessoal ("INSS - SPDX/Dataforte", ~R$ 54 mil/tri). No caixa tudo sai num DAS só, em Impostos. Parte desta diferença é compensada em Salários.</t>
        </is>
      </c>
      <c r="I16" s="7" t="inlineStr">
        <is>
          <t>Opcional: separar a parcela previdenciária do DAS, ou comparar Impostos + INSS juntos.</t>
        </is>
      </c>
    </row>
    <row r="17">
      <c r="A17" s="12" t="inlineStr">
        <is>
          <t>Impostos e contribuições a recolher</t>
        </is>
      </c>
      <c r="B17" s="7" t="inlineStr">
        <is>
          <t>IRPJ/CSLL da V E: pago no mês seguinte ao trimestre</t>
        </is>
      </c>
      <c r="C17" s="12" t="inlineStr">
        <is>
          <t>Prazo</t>
        </is>
      </c>
      <c r="D17" s="13" t="n">
        <v>37147.89</v>
      </c>
      <c r="E17" s="13" t="n">
        <v>-9317.299999999999</v>
      </c>
      <c r="F17" s="13" t="n">
        <v>85057.78</v>
      </c>
      <c r="G17" s="13">
        <f>SUM(D17:F17)</f>
        <v/>
      </c>
      <c r="H17" s="7" t="inlineStr">
        <is>
          <t>O caixa de cada trimestre paga o imposto do trimestre ANTERIOR (jan = DARF do 4º tri/2025, R$ 212,6 mil; abr = 1º tri; jul = 2º tri). A DRE mostra a estimativa do trimestre corrente. No 3º tri pesa também a diferença entre a estimativa da DRE para o 2º tri (R$ 236 mil) e a guia paga em julho (R$ 147 mil).</t>
        </is>
      </c>
      <c r="I17" s="7" t="inlineStr">
        <is>
          <t>Conferir por que a guia do 2º tri saiu R$ 90 mil abaixo da estimativa da DRE.</t>
        </is>
      </c>
    </row>
    <row r="18">
      <c r="A18" s="12" t="inlineStr">
        <is>
          <t>Impostos e contribuições a recolher</t>
        </is>
      </c>
      <c r="B18" s="7" t="inlineStr">
        <is>
          <t>PIS/COFINS/ISS da V E: guia paga no mês seguinte</t>
        </is>
      </c>
      <c r="C18" s="12" t="inlineStr">
        <is>
          <t>Prazo</t>
        </is>
      </c>
      <c r="D18" s="13" t="n">
        <v>-41515.11</v>
      </c>
      <c r="E18" s="13" t="n">
        <v>30120.65</v>
      </c>
      <c r="F18" s="13" t="n">
        <v>-30179.27</v>
      </c>
      <c r="G18" s="13">
        <f>SUM(D18:F18)</f>
        <v/>
      </c>
      <c r="H18" s="7" t="inlineStr">
        <is>
          <t>Cada guia é da competência do mês anterior (jan paga dez/25). Além do prazo, as guias reais oscilam mais que o cálculo da DRE (ex.: COFINS comp. 05/2026 de R$ 2,6 mil contra R$ 17,7 mil na DRE).</t>
        </is>
      </c>
      <c r="I18" s="7" t="inlineStr">
        <is>
          <t>Nada a corrigir.</t>
        </is>
      </c>
    </row>
    <row r="19">
      <c r="A19" s="12" t="inlineStr">
        <is>
          <t>Impostos e contribuições a recolher</t>
        </is>
      </c>
      <c r="B19" s="7" t="inlineStr">
        <is>
          <t>Parcelamento de IRPJ/CSLL da SPDX</t>
        </is>
      </c>
      <c r="C19" s="12" t="inlineStr">
        <is>
          <t>Sem DRE (por natureza)</t>
        </is>
      </c>
      <c r="D19" s="13" t="n">
        <v>-27942.2</v>
      </c>
      <c r="E19" s="13" t="n">
        <v>-28739.43</v>
      </c>
      <c r="F19" s="13" t="n">
        <v>-29543.02</v>
      </c>
      <c r="G19" s="13">
        <f>SUM(D19:F19)</f>
        <v/>
      </c>
      <c r="H19" s="7" t="inlineStr">
        <is>
          <t>Parcela mensal (~R$ 9,4 mil) de dívida tributária antiga. É caixa, mas não é despesa do período.</t>
        </is>
      </c>
      <c r="I19" s="7" t="inlineStr">
        <is>
          <t>Nada a corrigir; poderia ir para atividade de financiamento.</t>
        </is>
      </c>
    </row>
    <row r="20">
      <c r="A20" s="12" t="inlineStr">
        <is>
          <t>Impostos e contribuições a recolher</t>
        </is>
      </c>
      <c r="B20" s="7" t="inlineStr">
        <is>
          <t>Retenções, IRRF sobre NF e taxas municipais</t>
        </is>
      </c>
      <c r="C20" s="12" t="inlineStr">
        <is>
          <t>Classificação</t>
        </is>
      </c>
      <c r="D20" s="13" t="n">
        <v>-457.8</v>
      </c>
      <c r="E20" s="13" t="n">
        <v>-1464.1</v>
      </c>
      <c r="F20" s="13" t="n">
        <v>-479.78</v>
      </c>
      <c r="G20" s="13">
        <f>SUM(D20:F20)</f>
        <v/>
      </c>
      <c r="H20" s="7" t="inlineStr">
        <is>
          <t>Valores pequenos sem linha na DRE; a taxa municipal de jun (R$ 636) está em Despesas Administrativas na DRE.</t>
        </is>
      </c>
      <c r="I20" s="7" t="inlineStr">
        <is>
          <t>Nada relevante.</t>
        </is>
      </c>
    </row>
    <row r="21">
      <c r="A21" s="12" t="inlineStr">
        <is>
          <t>Salários, provisões e encargos sociais</t>
        </is>
      </c>
      <c r="B21" s="7" t="inlineStr">
        <is>
          <t>PLR e bônus pagos por semestre</t>
        </is>
      </c>
      <c r="C21" s="12" t="inlineStr">
        <is>
          <t>Prazo</t>
        </is>
      </c>
      <c r="D21" s="13" t="n">
        <v>-316348.37</v>
      </c>
      <c r="E21" s="13" t="n">
        <v>188371.94</v>
      </c>
      <c r="F21" s="13" t="n">
        <v>-240821.11</v>
      </c>
      <c r="G21" s="13">
        <f>SUM(D21:F21)</f>
        <v/>
      </c>
      <c r="H21" s="7" t="inlineStr">
        <is>
          <t>A DRE provisiona PLR (~R$ 80-87 mil/tri) e "Bônus EBITDA" (R$ 109 mil/tri) todo mês. O caixa paga de uma vez: jan/fev pagam o 2º semestre de 2025 (PLR 2025-2 + bônus) e jul paga o 1º semestre de 2026. Por isso o 2º tri fica positivo e o 1º e 3º negativos.</t>
        </is>
      </c>
      <c r="I21" s="7" t="inlineStr">
        <is>
          <t>Nada a corrigir.</t>
        </is>
      </c>
    </row>
    <row r="22">
      <c r="A22" s="12" t="inlineStr">
        <is>
          <t>Salários, provisões e encargos sociais</t>
        </is>
      </c>
      <c r="B22" s="7" t="inlineStr">
        <is>
          <t>Pró-labore e distribuições mensais dos sócios</t>
        </is>
      </c>
      <c r="C22" s="12" t="inlineStr">
        <is>
          <t>Prazo</t>
        </is>
      </c>
      <c r="D22" s="13" t="n">
        <v>132260.81</v>
      </c>
      <c r="E22" s="13" t="n">
        <v>-16094.72</v>
      </c>
      <c r="F22" s="13" t="n">
        <v>-115736.13</v>
      </c>
      <c r="G22" s="13">
        <f>SUM(D22:F22)</f>
        <v/>
      </c>
      <c r="H22" s="7" t="inlineStr">
        <is>
          <t>Pró-labore pago como "Pagamento de dividendos A/B/C/D" (mesma natureza da linha "Pró Labore Sócios" da DRE, que é R$ 226 mil/mês). No 1º tri o caixa ficou abaixo da DRE; no 3º tri, acima. Inclui o plano de saúde (Sabin Sinai, ~R$ 2 mil/mês) lançado na categoria "Pró Labore Sócios".</t>
        </is>
      </c>
      <c r="I22" s="7" t="inlineStr">
        <is>
          <t>Conferir o 3º tri (R$ 116 mil acima da DRE). Reclassificar o plano de saúde para Assistência Médica.</t>
        </is>
      </c>
    </row>
    <row r="23">
      <c r="A23" s="12" t="inlineStr">
        <is>
          <t>Salários, provisões e encargos sociais</t>
        </is>
      </c>
      <c r="B23" s="7" t="inlineStr">
        <is>
          <t>13º salário provisionado</t>
        </is>
      </c>
      <c r="C23" s="12" t="inlineStr">
        <is>
          <t>Provisão da DRE</t>
        </is>
      </c>
      <c r="D23" s="13" t="n">
        <v>72430.89999999999</v>
      </c>
      <c r="E23" s="13" t="n">
        <v>69455.78999999999</v>
      </c>
      <c r="F23" s="13" t="n">
        <v>69934.56</v>
      </c>
      <c r="G23" s="13">
        <f>SUM(D23:F23)</f>
        <v/>
      </c>
      <c r="H23" s="7" t="inlineStr">
        <is>
          <t>A DRE provisiona 1/12 do 13º todo mês (~R$ 70 mil/tri); o pagamento só acontece em nov/dez. Vai reverter no 4º tri.</t>
        </is>
      </c>
      <c r="I23" s="7" t="inlineStr">
        <is>
          <t>Nada a corrigir.</t>
        </is>
      </c>
    </row>
    <row r="24">
      <c r="A24" s="12" t="inlineStr">
        <is>
          <t>Salários, provisões e encargos sociais</t>
        </is>
      </c>
      <c r="B24" s="7" t="inlineStr">
        <is>
          <t>Folha mensal (salários, INSS, FGTS, retenções)</t>
        </is>
      </c>
      <c r="C24" s="12" t="inlineStr">
        <is>
          <t>Prazo</t>
        </is>
      </c>
      <c r="D24" s="13" t="n">
        <v>57326.39</v>
      </c>
      <c r="E24" s="13" t="n">
        <v>-6419.38</v>
      </c>
      <c r="F24" s="13" t="n">
        <v>65729.88</v>
      </c>
      <c r="G24" s="13">
        <f>SUM(D24:F24)</f>
        <v/>
      </c>
      <c r="H24" s="7" t="inlineStr">
        <is>
          <t>Salário do mês é pago no 5º dia útil do mês seguinte, e INSS/FGTS também no mês seguinte. O caixa de cada trimestre leva o último mês do trimestre anterior. Inclui salários pagos pela V Company (R$ 62/57/34 mil por tri).</t>
        </is>
      </c>
      <c r="I24" s="7" t="inlineStr">
        <is>
          <t>Nada a corrigir.</t>
        </is>
      </c>
    </row>
    <row r="25">
      <c r="A25" s="12" t="inlineStr">
        <is>
          <t>Salários, provisões e encargos sociais</t>
        </is>
      </c>
      <c r="B25" s="7" t="inlineStr">
        <is>
          <t>Contratados PJ: DRE maior que o caixa</t>
        </is>
      </c>
      <c r="C25" s="12" t="inlineStr">
        <is>
          <t>A verificar</t>
        </is>
      </c>
      <c r="D25" s="13" t="n">
        <v>28852.31</v>
      </c>
      <c r="E25" s="13" t="n">
        <v>16800</v>
      </c>
      <c r="F25" s="13" t="n">
        <v>45300</v>
      </c>
      <c r="G25" s="13">
        <f>SUM(D25:F25)</f>
        <v/>
      </c>
      <c r="H25" s="7" t="inlineStr">
        <is>
          <t>A DRE tem R$ 30/39/74 mil de PJ; a categoria "Contratados Pessoas Jurídicas" no caixa soma R$ 2/22/29 mil. Os PJ provavelmente estão sendo pagos em outra categoria (diárias, comissões ou "dividendos").</t>
        </is>
      </c>
      <c r="I25" s="7" t="inlineStr">
        <is>
          <t>Identificar onde os PJ estão lançados no Omie.</t>
        </is>
      </c>
    </row>
    <row r="26">
      <c r="A26" s="12" t="inlineStr">
        <is>
          <t>Salários, provisões e encargos sociais</t>
        </is>
      </c>
      <c r="B26" s="7" t="inlineStr">
        <is>
          <t>Rescisões, endomarketing e demais</t>
        </is>
      </c>
      <c r="C26" s="12" t="inlineStr">
        <is>
          <t>Prazo</t>
        </is>
      </c>
      <c r="D26" s="13" t="n">
        <v>-46112.74</v>
      </c>
      <c r="E26" s="13" t="n">
        <v>165.72</v>
      </c>
      <c r="F26" s="13" t="n">
        <v>-31397.65</v>
      </c>
      <c r="G26" s="13">
        <f>SUM(D26:F26)</f>
        <v/>
      </c>
      <c r="H26" s="7" t="inlineStr">
        <is>
          <t>Rescisões pagas acima da DRE; endomarketing do 1º tri inclui R$ 12 mil do saldo do Bem Laranja de 2025 e R$ 12 mil da V Company; R$ 21 mil de comissões lançadas em Salários no 3º tri (na DRE comissão é custo direto).</t>
        </is>
      </c>
      <c r="I26" s="7" t="inlineStr">
        <is>
          <t>Reclassificar as comissões de set para Despesas Diretas.</t>
        </is>
      </c>
    </row>
    <row r="27">
      <c r="A27" s="12" t="inlineStr">
        <is>
          <t>Salários, provisões e encargos sociais</t>
        </is>
      </c>
      <c r="B27" s="7" t="inlineStr">
        <is>
          <t>Férias: provisão × pagamento no gozo</t>
        </is>
      </c>
      <c r="C27" s="12" t="inlineStr">
        <is>
          <t>Provisão da DRE</t>
        </is>
      </c>
      <c r="D27" s="13" t="n">
        <v>18906.4</v>
      </c>
      <c r="E27" s="13" t="n">
        <v>5563.36</v>
      </c>
      <c r="F27" s="13" t="n">
        <v>-42233.72</v>
      </c>
      <c r="G27" s="13">
        <f>SUM(D27:F27)</f>
        <v/>
      </c>
      <c r="H27" s="7" t="inlineStr">
        <is>
          <t>A DRE provisiona férias mensalmente; o caixa paga quando a pessoa sai de férias (concentrado em jul-set: R$ 66 mil no 3º tri).</t>
        </is>
      </c>
      <c r="I27" s="7" t="inlineStr">
        <is>
          <t>Nada a corrigir.</t>
        </is>
      </c>
    </row>
    <row r="28">
      <c r="A28" s="12" t="inlineStr">
        <is>
          <t>Salários, provisões e encargos sociais</t>
        </is>
      </c>
      <c r="B28" s="7" t="inlineStr">
        <is>
          <t>Assistência médica em categorias fora da linha da DRE</t>
        </is>
      </c>
      <c r="C28" s="12" t="inlineStr">
        <is>
          <t>Classificação</t>
        </is>
      </c>
      <c r="D28" s="13" t="n">
        <v>-18164.24</v>
      </c>
      <c r="E28" s="13" t="n">
        <v>-19597.18</v>
      </c>
      <c r="F28" s="13" t="n">
        <v>-18603.8</v>
      </c>
      <c r="G28" s="13">
        <f>SUM(D28:F28)</f>
        <v/>
      </c>
      <c r="H28" s="7" t="inlineStr">
        <is>
          <t>O caixa tem "Assistência Médica / Salários" e "Assistência Médica / Pró Labore" (R$ 13/19/22 mil por tri), que a linha de assistência médica da DRE não pega.</t>
        </is>
      </c>
      <c r="I28" s="7" t="inlineStr">
        <is>
          <t>Unificar o mapeamento das três categorias.</t>
        </is>
      </c>
    </row>
    <row r="29">
      <c r="A29" s="12" t="inlineStr">
        <is>
          <t>Salários, provisões e encargos sociais</t>
        </is>
      </c>
      <c r="B29" s="7" t="inlineStr">
        <is>
          <t>Auxílio home office sem categoria no caixa</t>
        </is>
      </c>
      <c r="C29" s="12" t="inlineStr">
        <is>
          <t>Classificação</t>
        </is>
      </c>
      <c r="D29" s="13" t="n">
        <v>10770</v>
      </c>
      <c r="E29" s="13" t="n">
        <v>10170</v>
      </c>
      <c r="F29" s="13" t="n">
        <v>10170</v>
      </c>
      <c r="G29" s="13">
        <f>SUM(D29:F29)</f>
        <v/>
      </c>
      <c r="H29" s="7" t="inlineStr">
        <is>
          <t>A DRE tem R$ 10-11 mil/tri de auxílio home office; no caixa não há categoria própria (deve sair junto com o salário).</t>
        </is>
      </c>
      <c r="I29" s="7" t="inlineStr">
        <is>
          <t>Nada relevante.</t>
        </is>
      </c>
    </row>
    <row r="30">
      <c r="A30" s="12" t="inlineStr">
        <is>
          <t>Devoluções de Vendas</t>
        </is>
      </c>
      <c r="B30" s="7" t="inlineStr">
        <is>
          <t>Devolução de R$ 120 mil na DRE de junho sem saída de caixa</t>
        </is>
      </c>
      <c r="C30" s="12" t="inlineStr">
        <is>
          <t>A verificar</t>
        </is>
      </c>
      <c r="D30" s="13" t="n">
        <v>0</v>
      </c>
      <c r="E30" s="13" t="n">
        <v>120000</v>
      </c>
      <c r="F30" s="13" t="n">
        <v>0</v>
      </c>
      <c r="G30" s="13">
        <f>SUM(D30:F30)</f>
        <v/>
      </c>
      <c r="H30" s="7" t="inlineStr">
        <is>
          <t>A DRE de junho tem R$ 120,3 mil de devolução de vendas; o caixa pagou só R$ 0,8 mil no trimestre e nada depois. Pode ser estorno de receita sem devolução de dinheiro (compensação) ou devolução ainda a pagar.</t>
        </is>
      </c>
      <c r="I30" s="7" t="inlineStr">
        <is>
          <t>Confirmar a natureza da devolução de junho.</t>
        </is>
      </c>
    </row>
    <row r="31">
      <c r="A31" s="12" t="inlineStr">
        <is>
          <t>Despesas Diretas</t>
        </is>
      </c>
      <c r="B31" s="7" t="inlineStr">
        <is>
          <t>Custos da festa de arrecadação de maio contabilizados brutos</t>
        </is>
      </c>
      <c r="C31" s="12" t="inlineStr">
        <is>
          <t>Bruto × líquido</t>
        </is>
      </c>
      <c r="D31" s="13" t="n">
        <v>6103.27</v>
      </c>
      <c r="E31" s="13" t="n">
        <v>178008.05</v>
      </c>
      <c r="F31" s="13" t="n">
        <v>-10146.9</v>
      </c>
      <c r="G31" s="13">
        <f>SUM(D31:F31)</f>
        <v/>
      </c>
      <c r="H31" s="7" t="inlineStr">
        <is>
          <t>Contrapartida da receita de festa de maio em Contas a receber: o custo de R$ 188,6 mil está na DRE, mas foi pago pelo fundo, não pelas empresas.</t>
        </is>
      </c>
      <c r="I31" s="7" t="inlineStr">
        <is>
          <t>Nada a corrigir; ler junto com Contas a receber.</t>
        </is>
      </c>
    </row>
    <row r="32">
      <c r="A32" s="12" t="inlineStr">
        <is>
          <t>Despesas Diretas</t>
        </is>
      </c>
      <c r="B32" s="7" t="inlineStr">
        <is>
          <t>Conviva 2026 e treinamentos</t>
        </is>
      </c>
      <c r="C32" s="12" t="inlineStr">
        <is>
          <t>Prazo</t>
        </is>
      </c>
      <c r="D32" s="13" t="n">
        <v>10387.5</v>
      </c>
      <c r="E32" s="13" t="n">
        <v>-11006.52</v>
      </c>
      <c r="F32" s="13" t="n">
        <v>-107076.22</v>
      </c>
      <c r="G32" s="13">
        <f>SUM(D32:F32)</f>
        <v/>
      </c>
      <c r="H32" s="7" t="inlineStr">
        <is>
          <t>No 3º tri o caixa pagou R$ 247 mil de treinamentos/eventos, quase todo o Conviva 2026 (som, luz, buffet, mobiliário, aportes), contra R$ 140 mil reconhecidos na DRE.</t>
        </is>
      </c>
      <c r="I32" s="7" t="inlineStr">
        <is>
          <t>Confirmar se o restante do Conviva entra na DRE de outubro.</t>
        </is>
      </c>
    </row>
    <row r="33">
      <c r="A33" s="12" t="inlineStr">
        <is>
          <t>Despesas Diretas</t>
        </is>
      </c>
      <c r="B33" s="7" t="inlineStr">
        <is>
          <t>Comissões: provisão fixa × pagamentos em lote</t>
        </is>
      </c>
      <c r="C33" s="12" t="inlineStr">
        <is>
          <t>Prazo</t>
        </is>
      </c>
      <c r="D33" s="13" t="n">
        <v>-57699.5</v>
      </c>
      <c r="E33" s="13" t="n">
        <v>44287.5</v>
      </c>
      <c r="F33" s="13" t="n">
        <v>-11272.16</v>
      </c>
      <c r="G33" s="13">
        <f>SUM(D33:F33)</f>
        <v/>
      </c>
      <c r="H33" s="7" t="inlineStr">
        <is>
          <t>A DRE lança ~R$ 13 mil/mês de comissão. O caixa paga em lotes, incluindo comissões pagas pela V Company (R$ 46 mil no 1º tri e R$ 45 mil no 3º) e "meta comercial" paga como "Pagamento de dividendos F".</t>
        </is>
      </c>
      <c r="I33" s="7" t="inlineStr">
        <is>
          <t>Nada a corrigir, exceto confirmar se as comissões da V Company deveriam estar na DRE.</t>
        </is>
      </c>
    </row>
    <row r="34">
      <c r="A34" s="12" t="inlineStr">
        <is>
          <t>Despesas Diretas</t>
        </is>
      </c>
      <c r="B34" s="7" t="inlineStr">
        <is>
          <t>Diárias de consultoria, cobertura fotográfica e seguro</t>
        </is>
      </c>
      <c r="C34" s="12" t="inlineStr">
        <is>
          <t>Prazo</t>
        </is>
      </c>
      <c r="D34" s="13" t="n">
        <v>9724.33</v>
      </c>
      <c r="E34" s="13" t="n">
        <v>-1176.5</v>
      </c>
      <c r="F34" s="13" t="n">
        <v>-18223.42</v>
      </c>
      <c r="G34" s="13">
        <f>SUM(D34:F34)</f>
        <v/>
      </c>
      <c r="H34" s="7" t="inlineStr">
        <is>
          <t>Diárias: diferença de prazo. Cobertura fotográfica (R$ 24 mil no 3º tri) não tem linha na DRE.</t>
        </is>
      </c>
      <c r="I34" s="7" t="inlineStr">
        <is>
          <t>Mapear "Cobertura Fotográfica" numa linha da DRE.</t>
        </is>
      </c>
    </row>
    <row r="35">
      <c r="A35" s="12" t="inlineStr">
        <is>
          <t>Despesas Administrativas</t>
        </is>
      </c>
      <c r="B35" s="7" t="inlineStr">
        <is>
          <t>Softwares</t>
        </is>
      </c>
      <c r="C35" s="12" t="inlineStr">
        <is>
          <t>A verificar</t>
        </is>
      </c>
      <c r="D35" s="13" t="n">
        <v>34429.61</v>
      </c>
      <c r="E35" s="13" t="n">
        <v>3971.38</v>
      </c>
      <c r="F35" s="13" t="n">
        <v>-4679.2</v>
      </c>
      <c r="G35" s="13">
        <f>SUM(D35:F35)</f>
        <v/>
      </c>
      <c r="H35" s="7" t="inlineStr">
        <is>
          <t>A DRE de jan tem R$ 51 mil de softwares contra R$ 20 mil pagos. Parte dos softwares é paga em nome dos franqueados e fica no vínculo "Ressarcíveis" (R$ 98 mil pagos e R$ 109 mil reembolsados no 1º tri), que a DRE não separa.</t>
        </is>
      </c>
      <c r="I35" s="7" t="inlineStr">
        <is>
          <t>Conferir o que compõe os R$ 51 mil de jan na DRE.</t>
        </is>
      </c>
    </row>
    <row r="36">
      <c r="A36" s="12" t="inlineStr">
        <is>
          <t>Despesas Administrativas</t>
        </is>
      </c>
      <c r="B36" s="7" t="inlineStr">
        <is>
          <t>Consultorias e treinamentos</t>
        </is>
      </c>
      <c r="C36" s="12" t="inlineStr">
        <is>
          <t>Prazo</t>
        </is>
      </c>
      <c r="D36" s="13" t="n">
        <v>2420.96</v>
      </c>
      <c r="E36" s="13" t="n">
        <v>16567.1</v>
      </c>
      <c r="F36" s="13" t="n">
        <v>-1375.82</v>
      </c>
      <c r="G36" s="13">
        <f>SUM(D36:F36)</f>
        <v/>
      </c>
      <c r="H36" s="7" t="inlineStr">
        <is>
          <t>Diferença de prazo, concentrada no 2º tri.</t>
        </is>
      </c>
      <c r="I36" s="7" t="inlineStr">
        <is>
          <t>Nada a corrigir.</t>
        </is>
      </c>
    </row>
    <row r="37">
      <c r="A37" s="12" t="inlineStr">
        <is>
          <t>Despesas Administrativas</t>
        </is>
      </c>
      <c r="B37" s="7" t="inlineStr">
        <is>
          <t>Aluguel pago no mês seguinte</t>
        </is>
      </c>
      <c r="C37" s="12" t="inlineStr">
        <is>
          <t>Prazo</t>
        </is>
      </c>
      <c r="D37" s="13" t="n">
        <v>171.42</v>
      </c>
      <c r="E37" s="13" t="n">
        <v>16000</v>
      </c>
      <c r="F37" s="13" t="n">
        <v>0</v>
      </c>
      <c r="G37" s="13">
        <f>SUM(D37:F37)</f>
        <v/>
      </c>
      <c r="H37" s="7" t="inlineStr">
        <is>
          <t>Aluguel do HUB (R$ 16 mil) pago no mês seguinte à competência: o de abril só saiu em maio, e o de junho e julho saíram juntos em julho. O 2º tri ficou com dois aluguéis.</t>
        </is>
      </c>
      <c r="I37" s="7" t="inlineStr">
        <is>
          <t>Nada a corrigir.</t>
        </is>
      </c>
    </row>
    <row r="38">
      <c r="A38" s="12" t="inlineStr">
        <is>
          <t>Despesas Administrativas</t>
        </is>
      </c>
      <c r="B38" s="7" t="inlineStr">
        <is>
          <t>Demais despesas administrativas</t>
        </is>
      </c>
      <c r="C38" s="12" t="inlineStr">
        <is>
          <t>Prazo</t>
        </is>
      </c>
      <c r="D38" s="13" t="n">
        <v>-7072.76</v>
      </c>
      <c r="E38" s="13" t="n">
        <v>7037.8</v>
      </c>
      <c r="F38" s="13" t="n">
        <v>918.78</v>
      </c>
      <c r="G38" s="13">
        <f>SUM(D38:F38)</f>
        <v/>
      </c>
      <c r="H38" s="7" t="inlineStr">
        <is>
          <t>Material, outras despesas, contabilidade, telefonia, energia, manutenção, fretes, advogados, associações e taxas municipais: diferenças pequenas de prazo.</t>
        </is>
      </c>
      <c r="I38" s="7" t="inlineStr">
        <is>
          <t>Nada a corrigir.</t>
        </is>
      </c>
    </row>
    <row r="39">
      <c r="A39" s="12" t="inlineStr">
        <is>
          <t>Vendas e Marketing</t>
        </is>
      </c>
      <c r="B39" s="7" t="inlineStr">
        <is>
          <t>Categorias "Marketing (*)" e "Bonificações (*)" fora da linha da DRE</t>
        </is>
      </c>
      <c r="C39" s="12" t="inlineStr">
        <is>
          <t>Classificação</t>
        </is>
      </c>
      <c r="D39" s="13" t="n">
        <v>-19671.2</v>
      </c>
      <c r="E39" s="13" t="n">
        <v>-34752.6</v>
      </c>
      <c r="F39" s="13" t="n">
        <v>-7362.96</v>
      </c>
      <c r="G39" s="13">
        <f>SUM(D39:F39)</f>
        <v/>
      </c>
      <c r="H39" s="7" t="inlineStr">
        <is>
          <t>A linha Marketing da DRE acompanha só a categoria "Marketing". As categorias com (*), como a campanha "Ative o Modo: Segue o Baile" (FDM), viagens ao Selo ABF e o pagamento de meta comercial, não aparecem na DRE.</t>
        </is>
      </c>
      <c r="I39" s="7" t="inlineStr">
        <is>
          <t>Mapear as categorias (*) na DRE ou confirmar que devem ficar fora.</t>
        </is>
      </c>
    </row>
    <row r="40">
      <c r="A40" s="12" t="inlineStr">
        <is>
          <t>Vendas e Marketing</t>
        </is>
      </c>
      <c r="B40" s="7" t="inlineStr">
        <is>
          <t>Marketing: diferença de prazo</t>
        </is>
      </c>
      <c r="C40" s="12" t="inlineStr">
        <is>
          <t>Prazo</t>
        </is>
      </c>
      <c r="D40" s="13" t="n">
        <v>-871.05</v>
      </c>
      <c r="E40" s="13" t="n">
        <v>4541.25</v>
      </c>
      <c r="F40" s="13" t="n">
        <v>7084.8</v>
      </c>
      <c r="G40" s="13">
        <f>SUM(D40:F40)</f>
        <v/>
      </c>
      <c r="H40" s="7" t="inlineStr">
        <is>
          <t>Diferença pequena entre o lançado e o pago.</t>
        </is>
      </c>
      <c r="I40" s="7" t="inlineStr">
        <is>
          <t>Nada a corrigir.</t>
        </is>
      </c>
    </row>
    <row r="41">
      <c r="A41" s="12" t="inlineStr">
        <is>
          <t>Receitas não operacionais</t>
        </is>
      </c>
      <c r="B41" s="7" t="inlineStr">
        <is>
          <t>Bloqueio judicial</t>
        </is>
      </c>
      <c r="C41" s="12" t="inlineStr">
        <is>
          <t>Sem DRE (por natureza)</t>
        </is>
      </c>
      <c r="D41" s="13" t="n">
        <v>0</v>
      </c>
      <c r="E41" s="13" t="n">
        <v>0</v>
      </c>
      <c r="F41" s="13" t="n">
        <v>-64708.41</v>
      </c>
      <c r="G41" s="13">
        <f>SUM(D41:F41)</f>
        <v/>
      </c>
      <c r="H41" s="7" t="inlineStr">
        <is>
          <t>Três bloqueios judiciais em set (R$ 64,7 mil) saíram do caixa e foram lançados como "Receitas não operacionais". O desbloqueio de R$ 17,3 mil foi lançado em outro vínculo ("Outras despesas").</t>
        </is>
      </c>
      <c r="I41" s="7" t="inlineStr">
        <is>
          <t>Juntar bloqueio e desbloqueio num vínculo próprio (ex.: "Depósitos judiciais").</t>
        </is>
      </c>
    </row>
    <row r="42">
      <c r="A42" s="12" t="inlineStr">
        <is>
          <t>Receitas não operacionais</t>
        </is>
      </c>
      <c r="B42" s="7" t="inlineStr">
        <is>
          <t>Demais receitas não operacionais</t>
        </is>
      </c>
      <c r="C42" s="12" t="inlineStr">
        <is>
          <t>Prazo</t>
        </is>
      </c>
      <c r="D42" s="13" t="n">
        <v>462.8</v>
      </c>
      <c r="E42" s="13" t="n">
        <v>-17702.63</v>
      </c>
      <c r="F42" s="13" t="n">
        <v>13209.69</v>
      </c>
      <c r="G42" s="13">
        <f>SUM(D42:F42)</f>
        <v/>
      </c>
      <c r="H42" s="7" t="inlineStr">
        <is>
          <t>A DRE acompanha o caixa desta conta com defasagem. No 3º tri o caixa tem juros do empréstimo Vivas Hero Curitiba (R$ 26,8 mil) e reembolsos recebidos pela V Company que a DRE não tem.</t>
        </is>
      </c>
      <c r="I42" s="7" t="inlineStr">
        <is>
          <t>Nada a corrigir.</t>
        </is>
      </c>
    </row>
    <row r="43">
      <c r="A43" s="12" t="inlineStr">
        <is>
          <t>Despesas Financeiras / Bancos</t>
        </is>
      </c>
      <c r="B43" s="7" t="inlineStr">
        <is>
          <t>IR sobre aplicação e tarifas</t>
        </is>
      </c>
      <c r="C43" s="12" t="inlineStr">
        <is>
          <t>Classificação</t>
        </is>
      </c>
      <c r="D43" s="13" t="n">
        <v>205.6</v>
      </c>
      <c r="E43" s="13" t="n">
        <v>-6851.97</v>
      </c>
      <c r="F43" s="13" t="n">
        <v>-2197.59</v>
      </c>
      <c r="G43" s="13">
        <f>SUM(D43:F43)</f>
        <v/>
      </c>
      <c r="H43" s="7" t="inlineStr">
        <is>
          <t>O IR retido em aplicações financeiras (R$ 1/7/2 mil) não tem linha na DRE; tarifas com pequena diferença de prazo.</t>
        </is>
      </c>
      <c r="I43" s="7" t="inlineStr">
        <is>
          <t>Nada relevante.</t>
        </is>
      </c>
    </row>
    <row r="44">
      <c r="A44" s="12" t="inlineStr">
        <is>
          <t>Doações</t>
        </is>
      </c>
      <c r="B44" s="7" t="inlineStr">
        <is>
          <t>Doações pagas pela V Company</t>
        </is>
      </c>
      <c r="C44" s="12" t="inlineStr">
        <is>
          <t>Escopo (V Company)</t>
        </is>
      </c>
      <c r="D44" s="13" t="n">
        <v>0</v>
      </c>
      <c r="E44" s="13" t="n">
        <v>0</v>
      </c>
      <c r="F44" s="13" t="n">
        <v>-10370.78</v>
      </c>
      <c r="G44" s="13">
        <f>SUM(D44:F44)</f>
        <v/>
      </c>
      <c r="H44" s="7" t="inlineStr">
        <is>
          <t>R$ 11,3 mil de doações pagas pela V Company em set; a DRE acompanha só as doações da V E.</t>
        </is>
      </c>
      <c r="I44" s="7" t="inlineStr">
        <is>
          <t>Nada a corrigir.</t>
        </is>
      </c>
    </row>
    <row r="45">
      <c r="A45" s="12" t="inlineStr">
        <is>
          <t>Dividendos Pagos</t>
        </is>
      </c>
      <c r="B45" s="7" t="inlineStr">
        <is>
          <t>Distribuições aos sócios e à holding</t>
        </is>
      </c>
      <c r="C45" s="12" t="inlineStr">
        <is>
          <t>Sem DRE (por natureza)</t>
        </is>
      </c>
      <c r="D45" s="13" t="n">
        <v>-385986.69</v>
      </c>
      <c r="E45" s="13" t="n">
        <v>-175775.42</v>
      </c>
      <c r="F45" s="13" t="n">
        <v>-933658.45</v>
      </c>
      <c r="G45" s="13">
        <f>SUM(D45:F45)</f>
        <v/>
      </c>
      <c r="H45" s="7" t="inlineStr">
        <is>
          <t>Inclui R$ 94,8 mil por tri da V Company ("Conciliação destino ABD Holding - dividendos SPDX"): é a parte do rendimento dos fundos repassada à holding, contrapartida dos R$ 94,8 mil em Contas a receber. No 3º tri: R$ 330 mil de "Resgate VB" e aportes na Village/ABD Holding.</t>
        </is>
      </c>
      <c r="I45" s="7" t="inlineStr">
        <is>
          <t>Nada a corrigir.</t>
        </is>
      </c>
    </row>
    <row r="46">
      <c r="A46" s="12" t="inlineStr">
        <is>
          <t>P&amp;D</t>
        </is>
      </c>
      <c r="B46" s="7" t="inlineStr">
        <is>
          <t>P&amp;D só na DRE</t>
        </is>
      </c>
      <c r="C46" s="12" t="inlineStr">
        <is>
          <t>Classificação</t>
        </is>
      </c>
      <c r="D46" s="13" t="n">
        <v>42.96</v>
      </c>
      <c r="E46" s="13" t="n">
        <v>2225.94</v>
      </c>
      <c r="F46" s="13" t="n">
        <v>364.45</v>
      </c>
      <c r="G46" s="13">
        <f>SUM(D46:F46)</f>
        <v/>
      </c>
      <c r="H46" s="7" t="inlineStr">
        <is>
          <t>A DRE tem P&amp;D, mas no caixa não existe o vínculo; o pagamento deve estar em outra categoria.</t>
        </is>
      </c>
      <c r="I46" s="7" t="inlineStr">
        <is>
          <t>Nada relevante.</t>
        </is>
      </c>
    </row>
    <row r="47">
      <c r="A47" s="12" t="inlineStr">
        <is>
          <t>Aquisição de imobilizado e intangível</t>
        </is>
      </c>
      <c r="B47" s="7" t="inlineStr">
        <is>
          <t>Compras de equipamentos e móveis</t>
        </is>
      </c>
      <c r="C47" s="12" t="inlineStr">
        <is>
          <t>Sem DRE (por natureza)</t>
        </is>
      </c>
      <c r="D47" s="13" t="n">
        <v>-8443.049999999999</v>
      </c>
      <c r="E47" s="13" t="n">
        <v>-17902.2</v>
      </c>
      <c r="F47" s="13" t="n">
        <v>-10692.53</v>
      </c>
      <c r="G47" s="13">
        <f>SUM(D47:F47)</f>
        <v/>
      </c>
      <c r="H47" s="7" t="inlineStr">
        <is>
          <t>Investimento: não passa pela DRE.</t>
        </is>
      </c>
      <c r="I47" s="7" t="inlineStr">
        <is>
          <t>Nada a corrigir.</t>
        </is>
      </c>
    </row>
    <row r="48">
      <c r="A48" s="12" t="inlineStr">
        <is>
          <t>Aumento de Capital</t>
        </is>
      </c>
      <c r="B48" s="7" t="inlineStr">
        <is>
          <t>Aumento de capital na V Company (jan)</t>
        </is>
      </c>
      <c r="C48" s="12" t="inlineStr">
        <is>
          <t>Sem DRE (por natureza)</t>
        </is>
      </c>
      <c r="D48" s="13" t="n">
        <v>37175.2</v>
      </c>
      <c r="E48" s="13" t="n">
        <v>0</v>
      </c>
      <c r="F48" s="13" t="n">
        <v>0</v>
      </c>
      <c r="G48" s="13">
        <f>SUM(D48:F48)</f>
        <v/>
      </c>
      <c r="H48" s="7" t="inlineStr">
        <is>
          <t>Financiamento: não passa pela DRE.</t>
        </is>
      </c>
      <c r="I48" s="7" t="inlineStr">
        <is>
          <t>Nada a corrigir.</t>
        </is>
      </c>
    </row>
    <row r="49">
      <c r="A49" s="12" t="inlineStr">
        <is>
          <t>Outras despesas</t>
        </is>
      </c>
      <c r="B49" s="7" t="inlineStr">
        <is>
          <t>Desbloqueio judicial</t>
        </is>
      </c>
      <c r="C49" s="12" t="inlineStr">
        <is>
          <t>Sem DRE (por natureza)</t>
        </is>
      </c>
      <c r="D49" s="13" t="n">
        <v>0</v>
      </c>
      <c r="E49" s="13" t="n">
        <v>0</v>
      </c>
      <c r="F49" s="13" t="n">
        <v>16511.94</v>
      </c>
      <c r="G49" s="13">
        <f>SUM(D49:F49)</f>
        <v/>
      </c>
      <c r="H49" s="7" t="inlineStr">
        <is>
          <t>R$ 17,3 mil de desbloqueio judicial em set, contrapartida parcial dos bloqueios lançados em Receitas não operacionais.</t>
        </is>
      </c>
      <c r="I49" s="7" t="inlineStr">
        <is>
          <t>Juntar bloqueio e desbloqueio no mesmo vínculo.</t>
        </is>
      </c>
    </row>
    <row r="50">
      <c r="A50" s="12" t="inlineStr">
        <is>
          <t>Mútuos</t>
        </is>
      </c>
      <c r="B50" s="7" t="inlineStr">
        <is>
          <t>Mútuos concedidos e recebidos</t>
        </is>
      </c>
      <c r="C50" s="12" t="inlineStr">
        <is>
          <t>Sem DRE (por natureza)</t>
        </is>
      </c>
      <c r="D50" s="13" t="n">
        <v>73446.42999999999</v>
      </c>
      <c r="E50" s="13" t="n">
        <v>15263.71</v>
      </c>
      <c r="F50" s="13" t="n">
        <v>232622.81</v>
      </c>
      <c r="G50" s="13">
        <f>SUM(D50:F50)</f>
        <v/>
      </c>
      <c r="H50" s="7" t="inlineStr">
        <is>
          <t>Recebimentos de mútuos (Oliveira Medeiros, Uberaba, Empréstimos HERO) e concessões (Fortaleza, Triângulo). Os juros ficam em Receitas não operacionais, mas parcelas genéricas ("PIX recebido") do mesmo mútuo às vezes também caem lá.</t>
        </is>
      </c>
      <c r="I50" s="7" t="inlineStr">
        <is>
          <t>Padronizar juros × principal.</t>
        </is>
      </c>
    </row>
    <row r="51">
      <c r="A51" s="12" t="inlineStr">
        <is>
          <t>Dividendos recebidos</t>
        </is>
      </c>
      <c r="B51" s="7" t="inlineStr">
        <is>
          <t>Dividendos recebidos pela V Company</t>
        </is>
      </c>
      <c r="C51" s="12" t="inlineStr">
        <is>
          <t>Sem DRE (por natureza)</t>
        </is>
      </c>
      <c r="D51" s="13" t="n">
        <v>0</v>
      </c>
      <c r="E51" s="13" t="n">
        <v>60000</v>
      </c>
      <c r="F51" s="13" t="n">
        <v>49000</v>
      </c>
      <c r="G51" s="13">
        <f>SUM(D51:F51)</f>
        <v/>
      </c>
      <c r="H51" s="7" t="inlineStr">
        <is>
          <t>Não passa pela DRE do grupo.</t>
        </is>
      </c>
      <c r="I51" s="7" t="inlineStr">
        <is>
          <t>Nada a corrigir.</t>
        </is>
      </c>
    </row>
    <row r="53">
      <c r="A53" s="2" t="inlineStr">
        <is>
          <t>Diferença = caixa (aba Lançamentos VE 2026) − competência (aba Viva Company), o mesmo sinal da aba Calculos - V Eventos. Valores calculados a partir da planilha DFC - Viva Company 2026.xlsx em 26/10/2026.</t>
        </is>
      </c>
    </row>
  </sheetData>
  <autoFilter ref="A1:I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Conta (DFC)</t>
        </is>
      </c>
      <c r="B1" s="3" t="inlineStr">
        <is>
          <t>Linha da DRE / categoria do caixa</t>
        </is>
      </c>
      <c r="C1" s="3" t="inlineStr">
        <is>
          <t>Tipo</t>
        </is>
      </c>
      <c r="D1" s="3" t="inlineStr">
        <is>
          <t>DRE 1º</t>
        </is>
      </c>
      <c r="E1" s="3" t="inlineStr">
        <is>
          <t>Caixa 1º</t>
        </is>
      </c>
      <c r="F1" s="3" t="inlineStr">
        <is>
          <t>Dif. 1º</t>
        </is>
      </c>
      <c r="G1" s="3" t="inlineStr">
        <is>
          <t>DRE 2º</t>
        </is>
      </c>
      <c r="H1" s="3" t="inlineStr">
        <is>
          <t>Caixa 2º</t>
        </is>
      </c>
      <c r="I1" s="3" t="inlineStr">
        <is>
          <t>Dif. 2º</t>
        </is>
      </c>
      <c r="J1" s="3" t="inlineStr">
        <is>
          <t>DRE 3º</t>
        </is>
      </c>
      <c r="K1" s="3" t="inlineStr">
        <is>
          <t>Caixa 3º</t>
        </is>
      </c>
      <c r="L1" s="3" t="inlineStr">
        <is>
          <t>Dif. 3º</t>
        </is>
      </c>
    </row>
    <row r="2">
      <c r="A2" s="4" t="inlineStr">
        <is>
          <t>Contas a receber de clientes</t>
        </is>
      </c>
      <c r="B2" s="4" t="inlineStr">
        <is>
          <t>Royalties (recorrentes + fechamentos)</t>
        </is>
      </c>
      <c r="C2" s="4" t="inlineStr">
        <is>
          <t>na DRE</t>
        </is>
      </c>
      <c r="D2" s="5" t="n">
        <v>2064034.95</v>
      </c>
      <c r="E2" s="5" t="n">
        <v>2236476.94</v>
      </c>
      <c r="F2" s="5">
        <f>E2-D2</f>
        <v/>
      </c>
      <c r="G2" s="5" t="n">
        <v>1903668.82</v>
      </c>
      <c r="H2" s="5" t="n">
        <v>1837671.12</v>
      </c>
      <c r="I2" s="5">
        <f>H2-G2</f>
        <v/>
      </c>
      <c r="J2" s="5" t="n">
        <v>1874846.08</v>
      </c>
      <c r="K2" s="5" t="n">
        <v>2123675.77</v>
      </c>
      <c r="L2" s="5">
        <f>K2-J2</f>
        <v/>
      </c>
    </row>
    <row r="3">
      <c r="A3" s="4" t="inlineStr">
        <is>
          <t>Contas a receber de clientes</t>
        </is>
      </c>
      <c r="B3" s="4" t="inlineStr">
        <is>
          <t>Fundo de Marketing</t>
        </is>
      </c>
      <c r="C3" s="4" t="inlineStr">
        <is>
          <t>na DRE</t>
        </is>
      </c>
      <c r="D3" s="5" t="n">
        <v>129792.51</v>
      </c>
      <c r="E3" s="5" t="n">
        <v>142932.83</v>
      </c>
      <c r="F3" s="5">
        <f>E3-D3</f>
        <v/>
      </c>
      <c r="G3" s="5" t="n">
        <v>119928.95</v>
      </c>
      <c r="H3" s="5" t="n">
        <v>118332.51</v>
      </c>
      <c r="I3" s="5">
        <f>H3-G3</f>
        <v/>
      </c>
      <c r="J3" s="5" t="n">
        <v>115839.23</v>
      </c>
      <c r="K3" s="5" t="n">
        <v>132127.82</v>
      </c>
      <c r="L3" s="5">
        <f>K3-J3</f>
        <v/>
      </c>
    </row>
    <row r="4">
      <c r="A4" s="4" t="inlineStr">
        <is>
          <t>Contas a receber de clientes</t>
        </is>
      </c>
      <c r="B4" s="4" t="inlineStr">
        <is>
          <t>Taxas de Franquia</t>
        </is>
      </c>
      <c r="C4" s="4" t="inlineStr">
        <is>
          <t>na DRE</t>
        </is>
      </c>
      <c r="D4" s="5" t="n">
        <v>0</v>
      </c>
      <c r="E4" s="5" t="n">
        <v>78250</v>
      </c>
      <c r="F4" s="5">
        <f>E4-D4</f>
        <v/>
      </c>
      <c r="G4" s="5" t="n">
        <v>0</v>
      </c>
      <c r="H4" s="5" t="n">
        <v>41511.00999999999</v>
      </c>
      <c r="I4" s="5">
        <f>H4-G4</f>
        <v/>
      </c>
      <c r="J4" s="5" t="n">
        <v>60000</v>
      </c>
      <c r="K4" s="5" t="n">
        <v>80150</v>
      </c>
      <c r="L4" s="5">
        <f>K4-J4</f>
        <v/>
      </c>
    </row>
    <row r="5">
      <c r="A5" s="4" t="inlineStr">
        <is>
          <t>Contas a receber de clientes</t>
        </is>
      </c>
      <c r="B5" s="4" t="inlineStr">
        <is>
          <t>Receita SPDX (rendimento dos fundos)</t>
        </is>
      </c>
      <c r="C5" s="4" t="inlineStr">
        <is>
          <t>na DRE</t>
        </is>
      </c>
      <c r="D5" s="5" t="n">
        <v>1358482.7994</v>
      </c>
      <c r="E5" s="5" t="n">
        <v>932991.91</v>
      </c>
      <c r="F5" s="5">
        <f>E5-D5</f>
        <v/>
      </c>
      <c r="G5" s="5" t="n">
        <v>1460043.842</v>
      </c>
      <c r="H5" s="5" t="n">
        <v>1147287.44</v>
      </c>
      <c r="I5" s="5">
        <f>H5-G5</f>
        <v/>
      </c>
      <c r="J5" s="5" t="n">
        <v>1467401.3052</v>
      </c>
      <c r="K5" s="5" t="n">
        <v>1136440.03</v>
      </c>
      <c r="L5" s="5">
        <f>K5-J5</f>
        <v/>
      </c>
    </row>
    <row r="6">
      <c r="A6" s="4" t="inlineStr">
        <is>
          <t>Contas a receber de clientes</t>
        </is>
      </c>
      <c r="B6" s="4" t="inlineStr">
        <is>
          <t>Taxa Mundo Viva</t>
        </is>
      </c>
      <c r="C6" s="4" t="inlineStr">
        <is>
          <t>na DRE</t>
        </is>
      </c>
      <c r="D6" s="5" t="n">
        <v>220369.6</v>
      </c>
      <c r="E6" s="5" t="n">
        <v>233126.54</v>
      </c>
      <c r="F6" s="5">
        <f>E6-D6</f>
        <v/>
      </c>
      <c r="G6" s="5" t="n">
        <v>217789.4</v>
      </c>
      <c r="H6" s="5" t="n">
        <v>247533.83</v>
      </c>
      <c r="I6" s="5">
        <f>H6-G6</f>
        <v/>
      </c>
      <c r="J6" s="5" t="n">
        <v>231613.8</v>
      </c>
      <c r="K6" s="5" t="n">
        <v>243131.88</v>
      </c>
      <c r="L6" s="5">
        <f>K6-J6</f>
        <v/>
      </c>
    </row>
    <row r="7">
      <c r="A7" s="4" t="inlineStr">
        <is>
          <t>Contas a receber de clientes</t>
        </is>
      </c>
      <c r="B7" s="4" t="inlineStr">
        <is>
          <t>Markup de Tarifas</t>
        </is>
      </c>
      <c r="C7" s="4" t="inlineStr">
        <is>
          <t>na DRE</t>
        </is>
      </c>
      <c r="D7" s="5" t="n">
        <v>396374.11</v>
      </c>
      <c r="E7" s="5" t="n">
        <v>314882.55</v>
      </c>
      <c r="F7" s="5">
        <f>E7-D7</f>
        <v/>
      </c>
      <c r="G7" s="5" t="n">
        <v>363299.51</v>
      </c>
      <c r="H7" s="5" t="n">
        <v>348441.52</v>
      </c>
      <c r="I7" s="5">
        <f>H7-G7</f>
        <v/>
      </c>
      <c r="J7" s="5" t="n">
        <v>362765.48</v>
      </c>
      <c r="K7" s="5" t="n">
        <v>409379.57</v>
      </c>
      <c r="L7" s="5">
        <f>K7-J7</f>
        <v/>
      </c>
    </row>
    <row r="8">
      <c r="A8" s="4" t="inlineStr">
        <is>
          <t>Contas a receber de clientes</t>
        </is>
      </c>
      <c r="B8" s="4" t="inlineStr">
        <is>
          <t>Festas de Arrecadação</t>
        </is>
      </c>
      <c r="C8" s="4" t="inlineStr">
        <is>
          <t>na DRE</t>
        </is>
      </c>
      <c r="D8" s="5" t="n">
        <v>16841.72</v>
      </c>
      <c r="E8" s="5" t="n">
        <v>18875.79</v>
      </c>
      <c r="F8" s="5">
        <f>E8-D8</f>
        <v/>
      </c>
      <c r="G8" s="5" t="n">
        <v>282741.45</v>
      </c>
      <c r="H8" s="5" t="n">
        <v>76950.92</v>
      </c>
      <c r="I8" s="5">
        <f>H8-G8</f>
        <v/>
      </c>
      <c r="J8" s="5" t="n">
        <v>25540.72</v>
      </c>
      <c r="K8" s="5" t="n">
        <v>73882.04999999999</v>
      </c>
      <c r="L8" s="5">
        <f>K8-J8</f>
        <v/>
      </c>
    </row>
    <row r="9">
      <c r="A9" s="4" t="inlineStr">
        <is>
          <t>Contas a receber de clientes</t>
        </is>
      </c>
      <c r="B9" s="4" t="inlineStr">
        <is>
          <t>Receita com Projetos</t>
        </is>
      </c>
      <c r="C9" s="4" t="inlineStr">
        <is>
          <t>na DRE</t>
        </is>
      </c>
      <c r="D9" s="5" t="n">
        <v>3987.372226</v>
      </c>
      <c r="E9" s="5" t="n">
        <v>3704.86</v>
      </c>
      <c r="F9" s="5">
        <f>E9-D9</f>
        <v/>
      </c>
      <c r="G9" s="5" t="n">
        <v>1352.015342</v>
      </c>
      <c r="H9" s="5" t="n">
        <v>1567.6</v>
      </c>
      <c r="I9" s="5">
        <f>H9-G9</f>
        <v/>
      </c>
      <c r="J9" s="5" t="n">
        <v>3233.402554</v>
      </c>
      <c r="K9" s="5" t="n">
        <v>3477.66</v>
      </c>
      <c r="L9" s="5">
        <f>K9-J9</f>
        <v/>
      </c>
    </row>
    <row r="10">
      <c r="A10" s="4" t="inlineStr">
        <is>
          <t>Contas a receber de clientes</t>
        </is>
      </c>
      <c r="B10" s="4" t="inlineStr">
        <is>
          <t>Assessoria CSC</t>
        </is>
      </c>
      <c r="C10" s="4" t="inlineStr">
        <is>
          <t>na DRE</t>
        </is>
      </c>
      <c r="D10" s="5" t="n">
        <v>228760.37</v>
      </c>
      <c r="E10" s="5" t="n">
        <v>228760.37</v>
      </c>
      <c r="F10" s="5">
        <f>E10-D10</f>
        <v/>
      </c>
      <c r="G10" s="5" t="n">
        <v>226066.04</v>
      </c>
      <c r="H10" s="5" t="n">
        <v>230241.45</v>
      </c>
      <c r="I10" s="5">
        <f>H10-G10</f>
        <v/>
      </c>
      <c r="J10" s="5" t="n">
        <v>223923.26</v>
      </c>
      <c r="K10" s="5" t="n">
        <v>228286.26</v>
      </c>
      <c r="L10" s="5">
        <f>K10-J10</f>
        <v/>
      </c>
    </row>
    <row r="11">
      <c r="A11" s="4" t="inlineStr">
        <is>
          <t>Contas a receber de clientes</t>
        </is>
      </c>
      <c r="B11" s="4" t="inlineStr">
        <is>
          <t>Clientes - Serviços Prestados a Fornecedores Rede [VCO]</t>
        </is>
      </c>
      <c r="C11" s="4" t="inlineStr">
        <is>
          <t>sem DRE</t>
        </is>
      </c>
      <c r="D11" s="5" t="n">
        <v>0</v>
      </c>
      <c r="E11" s="5" t="n">
        <v>8505</v>
      </c>
      <c r="F11" s="5">
        <f>E11-D11</f>
        <v/>
      </c>
      <c r="G11" s="5" t="n">
        <v>0</v>
      </c>
      <c r="H11" s="5" t="n">
        <v>3495</v>
      </c>
      <c r="I11" s="5">
        <f>H11-G11</f>
        <v/>
      </c>
      <c r="J11" s="5" t="n">
        <v>0</v>
      </c>
      <c r="K11" s="5" t="n">
        <v>0</v>
      </c>
      <c r="L11" s="5">
        <f>K11-J11</f>
        <v/>
      </c>
    </row>
    <row r="12">
      <c r="A12" s="4" t="inlineStr">
        <is>
          <t>Contas a receber de clientes</t>
        </is>
      </c>
      <c r="B12" s="4" t="inlineStr">
        <is>
          <t>Clientes - Serviços Prestados a Fornecedores Rede [VE]</t>
        </is>
      </c>
      <c r="C12" s="4" t="inlineStr">
        <is>
          <t>sem DRE</t>
        </is>
      </c>
      <c r="D12" s="5" t="n">
        <v>0</v>
      </c>
      <c r="E12" s="5" t="n">
        <v>0</v>
      </c>
      <c r="F12" s="5">
        <f>E12-D12</f>
        <v/>
      </c>
      <c r="G12" s="5" t="n">
        <v>0</v>
      </c>
      <c r="H12" s="5" t="n">
        <v>0</v>
      </c>
      <c r="I12" s="5">
        <f>H12-G12</f>
        <v/>
      </c>
      <c r="J12" s="5" t="n">
        <v>0</v>
      </c>
      <c r="K12" s="5" t="n">
        <v>56077.5</v>
      </c>
      <c r="L12" s="5">
        <f>K12-J12</f>
        <v/>
      </c>
    </row>
    <row r="13">
      <c r="A13" s="4" t="inlineStr">
        <is>
          <t>Contas a receber de clientes</t>
        </is>
      </c>
      <c r="B13" s="4" t="inlineStr">
        <is>
          <t>Entrada de Transferência (*) [VE]</t>
        </is>
      </c>
      <c r="C13" s="4" t="inlineStr">
        <is>
          <t>sem DRE</t>
        </is>
      </c>
      <c r="D13" s="5" t="n">
        <v>0</v>
      </c>
      <c r="E13" s="5" t="n">
        <v>0</v>
      </c>
      <c r="F13" s="5">
        <f>E13-D13</f>
        <v/>
      </c>
      <c r="G13" s="5" t="n">
        <v>0</v>
      </c>
      <c r="H13" s="5" t="n">
        <v>490000</v>
      </c>
      <c r="I13" s="5">
        <f>H13-G13</f>
        <v/>
      </c>
      <c r="J13" s="5" t="n">
        <v>0</v>
      </c>
      <c r="K13" s="5" t="n">
        <v>2085925.51</v>
      </c>
      <c r="L13" s="5">
        <f>K13-J13</f>
        <v/>
      </c>
    </row>
    <row r="14">
      <c r="A14" s="4" t="inlineStr">
        <is>
          <t>Contas a receber de clientes</t>
        </is>
      </c>
      <c r="B14" s="4" t="inlineStr">
        <is>
          <t>Entrada de Transferência [DF]</t>
        </is>
      </c>
      <c r="C14" s="4" t="inlineStr">
        <is>
          <t>sem DRE</t>
        </is>
      </c>
      <c r="D14" s="5" t="n">
        <v>0</v>
      </c>
      <c r="E14" s="5" t="n">
        <v>841399.17</v>
      </c>
      <c r="F14" s="5">
        <f>E14-D14</f>
        <v/>
      </c>
      <c r="G14" s="5" t="n">
        <v>0</v>
      </c>
      <c r="H14" s="5" t="n">
        <v>848418.97</v>
      </c>
      <c r="I14" s="5">
        <f>H14-G14</f>
        <v/>
      </c>
      <c r="J14" s="5" t="n">
        <v>0</v>
      </c>
      <c r="K14" s="5" t="n">
        <v>1148632.74</v>
      </c>
      <c r="L14" s="5">
        <f>K14-J14</f>
        <v/>
      </c>
    </row>
    <row r="15">
      <c r="A15" s="4" t="inlineStr">
        <is>
          <t>Contas a receber de clientes</t>
        </is>
      </c>
      <c r="B15" s="4" t="inlineStr">
        <is>
          <t>Entrada de Transferência [SPDX]</t>
        </is>
      </c>
      <c r="C15" s="4" t="inlineStr">
        <is>
          <t>sem DRE</t>
        </is>
      </c>
      <c r="D15" s="5" t="n">
        <v>0</v>
      </c>
      <c r="E15" s="5" t="n">
        <v>2271859.36</v>
      </c>
      <c r="F15" s="5">
        <f>E15-D15</f>
        <v/>
      </c>
      <c r="G15" s="5" t="n">
        <v>0</v>
      </c>
      <c r="H15" s="5" t="n">
        <v>4629182.000000001</v>
      </c>
      <c r="I15" s="5">
        <f>H15-G15</f>
        <v/>
      </c>
      <c r="J15" s="5" t="n">
        <v>0</v>
      </c>
      <c r="K15" s="5" t="n">
        <v>7607850.720000001</v>
      </c>
      <c r="L15" s="5">
        <f>K15-J15</f>
        <v/>
      </c>
    </row>
    <row r="16">
      <c r="A16" s="4" t="inlineStr">
        <is>
          <t>Contas a receber de clientes</t>
        </is>
      </c>
      <c r="B16" s="4" t="inlineStr">
        <is>
          <t>Entrada de Transferência [VCO]</t>
        </is>
      </c>
      <c r="C16" s="4" t="inlineStr">
        <is>
          <t>sem DRE</t>
        </is>
      </c>
      <c r="D16" s="5" t="n">
        <v>0</v>
      </c>
      <c r="E16" s="5" t="n">
        <v>0</v>
      </c>
      <c r="F16" s="5">
        <f>E16-D16</f>
        <v/>
      </c>
      <c r="G16" s="5" t="n">
        <v>0</v>
      </c>
      <c r="H16" s="5" t="n">
        <v>196142.97</v>
      </c>
      <c r="I16" s="5">
        <f>H16-G16</f>
        <v/>
      </c>
      <c r="J16" s="5" t="n">
        <v>0</v>
      </c>
      <c r="K16" s="5" t="n">
        <v>14018.63</v>
      </c>
      <c r="L16" s="5">
        <f>K16-J16</f>
        <v/>
      </c>
    </row>
    <row r="17">
      <c r="A17" s="4" t="inlineStr">
        <is>
          <t>Contas a receber de clientes</t>
        </is>
      </c>
      <c r="B17" s="4" t="inlineStr">
        <is>
          <t>Entrada de Transferência [VE]</t>
        </is>
      </c>
      <c r="C17" s="4" t="inlineStr">
        <is>
          <t>sem DRE</t>
        </is>
      </c>
      <c r="D17" s="5" t="n">
        <v>0</v>
      </c>
      <c r="E17" s="5" t="n">
        <v>6013930.779999999</v>
      </c>
      <c r="F17" s="5">
        <f>E17-D17</f>
        <v/>
      </c>
      <c r="G17" s="5" t="n">
        <v>0</v>
      </c>
      <c r="H17" s="5" t="n">
        <v>3893997.43</v>
      </c>
      <c r="I17" s="5">
        <f>H17-G17</f>
        <v/>
      </c>
      <c r="J17" s="5" t="n">
        <v>0</v>
      </c>
      <c r="K17" s="5" t="n">
        <v>8087552.49</v>
      </c>
      <c r="L17" s="5">
        <f>K17-J17</f>
        <v/>
      </c>
    </row>
    <row r="18">
      <c r="A18" s="4" t="inlineStr">
        <is>
          <t>Contas a receber de clientes</t>
        </is>
      </c>
      <c r="B18" s="4" t="inlineStr">
        <is>
          <t>Receita Não Operacional (inativa) [VCO]</t>
        </is>
      </c>
      <c r="C18" s="4" t="inlineStr">
        <is>
          <t>sem DRE</t>
        </is>
      </c>
      <c r="D18" s="5" t="n">
        <v>0</v>
      </c>
      <c r="E18" s="5" t="n">
        <v>2541.65</v>
      </c>
      <c r="F18" s="5">
        <f>E18-D18</f>
        <v/>
      </c>
      <c r="G18" s="5" t="n">
        <v>0</v>
      </c>
      <c r="H18" s="5" t="n">
        <v>1934.22</v>
      </c>
      <c r="I18" s="5">
        <f>H18-G18</f>
        <v/>
      </c>
      <c r="J18" s="5" t="n">
        <v>0</v>
      </c>
      <c r="K18" s="5" t="n">
        <v>1308.38</v>
      </c>
      <c r="L18" s="5">
        <f>K18-J18</f>
        <v/>
      </c>
    </row>
    <row r="19">
      <c r="A19" s="4" t="inlineStr">
        <is>
          <t>Contas a receber de clientes</t>
        </is>
      </c>
      <c r="B19" s="4" t="inlineStr">
        <is>
          <t>Receita Não Operacional [VCO]</t>
        </is>
      </c>
      <c r="C19" s="4" t="inlineStr">
        <is>
          <t>sem DRE</t>
        </is>
      </c>
      <c r="D19" s="5" t="n">
        <v>0</v>
      </c>
      <c r="E19" s="5" t="n">
        <v>94824.81</v>
      </c>
      <c r="F19" s="5">
        <f>E19-D19</f>
        <v/>
      </c>
      <c r="G19" s="5" t="n">
        <v>0</v>
      </c>
      <c r="H19" s="5" t="n">
        <v>94824.81</v>
      </c>
      <c r="I19" s="5">
        <f>H19-G19</f>
        <v/>
      </c>
      <c r="J19" s="5" t="n">
        <v>0</v>
      </c>
      <c r="K19" s="5" t="n">
        <v>94559.83</v>
      </c>
      <c r="L19" s="5">
        <f>K19-J19</f>
        <v/>
      </c>
    </row>
    <row r="20">
      <c r="A20" s="4" t="inlineStr">
        <is>
          <t>Contas a receber de clientes</t>
        </is>
      </c>
      <c r="B20" s="4" t="inlineStr">
        <is>
          <t>Rendimentos de Aplicações [DF]</t>
        </is>
      </c>
      <c r="C20" s="4" t="inlineStr">
        <is>
          <t>sem DRE</t>
        </is>
      </c>
      <c r="D20" s="5" t="n">
        <v>0</v>
      </c>
      <c r="E20" s="5" t="n">
        <v>498.8</v>
      </c>
      <c r="F20" s="5">
        <f>E20-D20</f>
        <v/>
      </c>
      <c r="G20" s="5" t="n">
        <v>0</v>
      </c>
      <c r="H20" s="5" t="n">
        <v>335.82</v>
      </c>
      <c r="I20" s="5">
        <f>H20-G20</f>
        <v/>
      </c>
      <c r="J20" s="5" t="n">
        <v>0</v>
      </c>
      <c r="K20" s="5" t="n">
        <v>101.44</v>
      </c>
      <c r="L20" s="5">
        <f>K20-J20</f>
        <v/>
      </c>
    </row>
    <row r="21">
      <c r="A21" s="4" t="inlineStr">
        <is>
          <t>Contas a receber de clientes</t>
        </is>
      </c>
      <c r="B21" s="4" t="inlineStr">
        <is>
          <t>Rendimentos de Aplicações [SPDX]</t>
        </is>
      </c>
      <c r="C21" s="4" t="inlineStr">
        <is>
          <t>sem DRE</t>
        </is>
      </c>
      <c r="D21" s="5" t="n">
        <v>0</v>
      </c>
      <c r="E21" s="5" t="n">
        <v>5066.559999999999</v>
      </c>
      <c r="F21" s="5">
        <f>E21-D21</f>
        <v/>
      </c>
      <c r="G21" s="5" t="n">
        <v>0</v>
      </c>
      <c r="H21" s="5" t="n">
        <v>8252.68</v>
      </c>
      <c r="I21" s="5">
        <f>H21-G21</f>
        <v/>
      </c>
      <c r="J21" s="5" t="n">
        <v>0</v>
      </c>
      <c r="K21" s="5" t="n">
        <v>12390.54</v>
      </c>
      <c r="L21" s="5">
        <f>K21-J21</f>
        <v/>
      </c>
    </row>
    <row r="22">
      <c r="A22" s="4" t="inlineStr">
        <is>
          <t>Contas a receber de clientes</t>
        </is>
      </c>
      <c r="B22" s="4" t="inlineStr">
        <is>
          <t>Rendimentos de Aplicações [VCO]</t>
        </is>
      </c>
      <c r="C22" s="4" t="inlineStr">
        <is>
          <t>sem DRE</t>
        </is>
      </c>
      <c r="D22" s="5" t="n">
        <v>0</v>
      </c>
      <c r="E22" s="5" t="n">
        <v>0</v>
      </c>
      <c r="F22" s="5">
        <f>E22-D22</f>
        <v/>
      </c>
      <c r="G22" s="5" t="n">
        <v>0</v>
      </c>
      <c r="H22" s="5" t="n">
        <v>0</v>
      </c>
      <c r="I22" s="5">
        <f>H22-G22</f>
        <v/>
      </c>
      <c r="J22" s="5" t="n">
        <v>0</v>
      </c>
      <c r="K22" s="5" t="n">
        <v>130.15</v>
      </c>
      <c r="L22" s="5">
        <f>K22-J22</f>
        <v/>
      </c>
    </row>
    <row r="23">
      <c r="A23" s="4" t="inlineStr">
        <is>
          <t>Contas a receber de clientes</t>
        </is>
      </c>
      <c r="B23" s="4" t="inlineStr">
        <is>
          <t>Rendimentos de Aplicações [VE]</t>
        </is>
      </c>
      <c r="C23" s="4" t="inlineStr">
        <is>
          <t>sem DRE</t>
        </is>
      </c>
      <c r="D23" s="5" t="n">
        <v>0</v>
      </c>
      <c r="E23" s="5" t="n">
        <v>17447.32</v>
      </c>
      <c r="F23" s="5">
        <f>E23-D23</f>
        <v/>
      </c>
      <c r="G23" s="5" t="n">
        <v>0</v>
      </c>
      <c r="H23" s="5" t="n">
        <v>16100.39</v>
      </c>
      <c r="I23" s="5">
        <f>H23-G23</f>
        <v/>
      </c>
      <c r="J23" s="5" t="n">
        <v>0</v>
      </c>
      <c r="K23" s="5" t="n">
        <v>22353.85</v>
      </c>
      <c r="L23" s="5">
        <f>K23-J23</f>
        <v/>
      </c>
    </row>
    <row r="24">
      <c r="A24" s="4" t="inlineStr">
        <is>
          <t>Contas a receber de clientes</t>
        </is>
      </c>
      <c r="B24" s="4" t="inlineStr">
        <is>
          <t>Saída de Transferência (*) [VCO]</t>
        </is>
      </c>
      <c r="C24" s="4" t="inlineStr">
        <is>
          <t>sem DRE</t>
        </is>
      </c>
      <c r="D24" s="5" t="n">
        <v>0</v>
      </c>
      <c r="E24" s="5" t="n">
        <v>0</v>
      </c>
      <c r="F24" s="5">
        <f>E24-D24</f>
        <v/>
      </c>
      <c r="G24" s="5" t="n">
        <v>0</v>
      </c>
      <c r="H24" s="5" t="n">
        <v>-134474.42</v>
      </c>
      <c r="I24" s="5">
        <f>H24-G24</f>
        <v/>
      </c>
      <c r="J24" s="5" t="n">
        <v>0</v>
      </c>
      <c r="K24" s="5" t="n">
        <v>0</v>
      </c>
      <c r="L24" s="5">
        <f>K24-J24</f>
        <v/>
      </c>
    </row>
    <row r="25">
      <c r="A25" s="4" t="inlineStr">
        <is>
          <t>Contas a receber de clientes</t>
        </is>
      </c>
      <c r="B25" s="4" t="inlineStr">
        <is>
          <t>Saída de Transferência (*) [VE]</t>
        </is>
      </c>
      <c r="C25" s="4" t="inlineStr">
        <is>
          <t>sem DRE</t>
        </is>
      </c>
      <c r="D25" s="5" t="n">
        <v>0</v>
      </c>
      <c r="E25" s="5" t="n">
        <v>0</v>
      </c>
      <c r="F25" s="5">
        <f>E25-D25</f>
        <v/>
      </c>
      <c r="G25" s="5" t="n">
        <v>0</v>
      </c>
      <c r="H25" s="5" t="n">
        <v>-490000</v>
      </c>
      <c r="I25" s="5">
        <f>H25-G25</f>
        <v/>
      </c>
      <c r="J25" s="5" t="n">
        <v>0</v>
      </c>
      <c r="K25" s="5" t="n">
        <v>-2174021.52</v>
      </c>
      <c r="L25" s="5">
        <f>K25-J25</f>
        <v/>
      </c>
    </row>
    <row r="26">
      <c r="A26" s="4" t="inlineStr">
        <is>
          <t>Contas a receber de clientes</t>
        </is>
      </c>
      <c r="B26" s="4" t="inlineStr">
        <is>
          <t>Saída de Transferência [DF]</t>
        </is>
      </c>
      <c r="C26" s="4" t="inlineStr">
        <is>
          <t>sem DRE</t>
        </is>
      </c>
      <c r="D26" s="5" t="n">
        <v>0</v>
      </c>
      <c r="E26" s="5" t="n">
        <v>-841399.17</v>
      </c>
      <c r="F26" s="5">
        <f>E26-D26</f>
        <v/>
      </c>
      <c r="G26" s="5" t="n">
        <v>0</v>
      </c>
      <c r="H26" s="5" t="n">
        <v>-848418.97</v>
      </c>
      <c r="I26" s="5">
        <f>H26-G26</f>
        <v/>
      </c>
      <c r="J26" s="5" t="n">
        <v>0</v>
      </c>
      <c r="K26" s="5" t="n">
        <v>-1148632.74</v>
      </c>
      <c r="L26" s="5">
        <f>K26-J26</f>
        <v/>
      </c>
    </row>
    <row r="27">
      <c r="A27" s="4" t="inlineStr">
        <is>
          <t>Contas a receber de clientes</t>
        </is>
      </c>
      <c r="B27" s="4" t="inlineStr">
        <is>
          <t>Saída de Transferência [SPDX]</t>
        </is>
      </c>
      <c r="C27" s="4" t="inlineStr">
        <is>
          <t>sem DRE</t>
        </is>
      </c>
      <c r="D27" s="5" t="n">
        <v>0</v>
      </c>
      <c r="E27" s="5" t="n">
        <v>-2271859.360000001</v>
      </c>
      <c r="F27" s="5">
        <f>E27-D27</f>
        <v/>
      </c>
      <c r="G27" s="5" t="n">
        <v>0</v>
      </c>
      <c r="H27" s="5" t="n">
        <v>-4629182</v>
      </c>
      <c r="I27" s="5">
        <f>H27-G27</f>
        <v/>
      </c>
      <c r="J27" s="5" t="n">
        <v>0</v>
      </c>
      <c r="K27" s="5" t="n">
        <v>-7599506.5</v>
      </c>
      <c r="L27" s="5">
        <f>K27-J27</f>
        <v/>
      </c>
    </row>
    <row r="28">
      <c r="A28" s="4" t="inlineStr">
        <is>
          <t>Contas a receber de clientes</t>
        </is>
      </c>
      <c r="B28" s="4" t="inlineStr">
        <is>
          <t>Saída de Transferência [VCO]</t>
        </is>
      </c>
      <c r="C28" s="4" t="inlineStr">
        <is>
          <t>sem DRE</t>
        </is>
      </c>
      <c r="D28" s="5" t="n">
        <v>0</v>
      </c>
      <c r="E28" s="5" t="n">
        <v>0</v>
      </c>
      <c r="F28" s="5">
        <f>E28-D28</f>
        <v/>
      </c>
      <c r="G28" s="5" t="n">
        <v>0</v>
      </c>
      <c r="H28" s="5" t="n">
        <v>-197693.04</v>
      </c>
      <c r="I28" s="5">
        <f>H28-G28</f>
        <v/>
      </c>
      <c r="J28" s="5" t="n">
        <v>0</v>
      </c>
      <c r="K28" s="5" t="n">
        <v>-14018.63</v>
      </c>
      <c r="L28" s="5">
        <f>K28-J28</f>
        <v/>
      </c>
    </row>
    <row r="29">
      <c r="A29" s="4" t="inlineStr">
        <is>
          <t>Contas a receber de clientes</t>
        </is>
      </c>
      <c r="B29" s="4" t="inlineStr">
        <is>
          <t>Saída de Transferência [VE]</t>
        </is>
      </c>
      <c r="C29" s="4" t="inlineStr">
        <is>
          <t>sem DRE</t>
        </is>
      </c>
      <c r="D29" s="5" t="n">
        <v>0</v>
      </c>
      <c r="E29" s="5" t="n">
        <v>-6013930.779999999</v>
      </c>
      <c r="F29" s="5">
        <f>E29-D29</f>
        <v/>
      </c>
      <c r="G29" s="5" t="n">
        <v>0</v>
      </c>
      <c r="H29" s="5" t="n">
        <v>-3893997.43</v>
      </c>
      <c r="I29" s="5">
        <f>H29-G29</f>
        <v/>
      </c>
      <c r="J29" s="5" t="n">
        <v>0</v>
      </c>
      <c r="K29" s="5" t="n">
        <v>-8086552.49</v>
      </c>
      <c r="L29" s="5">
        <f>K29-J29</f>
        <v/>
      </c>
    </row>
    <row r="30">
      <c r="A30" s="4" t="inlineStr">
        <is>
          <t>Salários, provisões e encargos sociais</t>
        </is>
      </c>
      <c r="B30" s="4" t="inlineStr">
        <is>
          <t>Salários (líquido + retenções)</t>
        </is>
      </c>
      <c r="C30" s="4" t="inlineStr">
        <is>
          <t>na DRE</t>
        </is>
      </c>
      <c r="D30" s="5" t="n">
        <v>-718241.33</v>
      </c>
      <c r="E30" s="5" t="n">
        <v>-641523.8800000001</v>
      </c>
      <c r="F30" s="5">
        <f>E30-D30</f>
        <v/>
      </c>
      <c r="G30" s="5" t="n">
        <v>-683816.0900000001</v>
      </c>
      <c r="H30" s="5" t="n">
        <v>-699577.08</v>
      </c>
      <c r="I30" s="5">
        <f>H30-G30</f>
        <v/>
      </c>
      <c r="J30" s="5" t="n">
        <v>-709546.22</v>
      </c>
      <c r="K30" s="5" t="n">
        <v>-626927.6799999999</v>
      </c>
      <c r="L30" s="5">
        <f>K30-J30</f>
        <v/>
      </c>
    </row>
    <row r="31">
      <c r="A31" s="4" t="inlineStr">
        <is>
          <t>Salários, provisões e encargos sociais</t>
        </is>
      </c>
      <c r="B31" s="4" t="inlineStr">
        <is>
          <t>Férias</t>
        </is>
      </c>
      <c r="C31" s="4" t="inlineStr">
        <is>
          <t>na DRE</t>
        </is>
      </c>
      <c r="D31" s="5" t="n">
        <v>-24143.635219</v>
      </c>
      <c r="E31" s="5" t="n">
        <v>-5237.24</v>
      </c>
      <c r="F31" s="5">
        <f>E31-D31</f>
        <v/>
      </c>
      <c r="G31" s="5" t="n">
        <v>-23150.95831</v>
      </c>
      <c r="H31" s="5" t="n">
        <v>-17587.6</v>
      </c>
      <c r="I31" s="5">
        <f>H31-G31</f>
        <v/>
      </c>
      <c r="J31" s="5" t="n">
        <v>-23495.073184</v>
      </c>
      <c r="K31" s="5" t="n">
        <v>-65728.79000000001</v>
      </c>
      <c r="L31" s="5">
        <f>K31-J31</f>
        <v/>
      </c>
    </row>
    <row r="32">
      <c r="A32" s="4" t="inlineStr">
        <is>
          <t>Salários, provisões e encargos sociais</t>
        </is>
      </c>
      <c r="B32" s="4" t="inlineStr">
        <is>
          <t>Rescisões</t>
        </is>
      </c>
      <c r="C32" s="4" t="inlineStr">
        <is>
          <t>na DRE</t>
        </is>
      </c>
      <c r="D32" s="5" t="n">
        <v>-27361</v>
      </c>
      <c r="E32" s="5" t="n">
        <v>-44445.01</v>
      </c>
      <c r="F32" s="5">
        <f>E32-D32</f>
        <v/>
      </c>
      <c r="G32" s="5" t="n">
        <v>-19776.67</v>
      </c>
      <c r="H32" s="5" t="n">
        <v>-21390.87</v>
      </c>
      <c r="I32" s="5">
        <f>H32-G32</f>
        <v/>
      </c>
      <c r="J32" s="5" t="n">
        <v>-27555.2</v>
      </c>
      <c r="K32" s="5" t="n">
        <v>-40891.68</v>
      </c>
      <c r="L32" s="5">
        <f>K32-J32</f>
        <v/>
      </c>
    </row>
    <row r="33">
      <c r="A33" s="4" t="inlineStr">
        <is>
          <t>Salários, provisões e encargos sociais</t>
        </is>
      </c>
      <c r="B33" s="4" t="inlineStr">
        <is>
          <t>13º Salário</t>
        </is>
      </c>
      <c r="C33" s="4" t="inlineStr">
        <is>
          <t>na DRE</t>
        </is>
      </c>
      <c r="D33" s="5" t="n">
        <v>-72430.89565999999</v>
      </c>
      <c r="E33" s="5" t="n">
        <v>0</v>
      </c>
      <c r="F33" s="5">
        <f>E33-D33</f>
        <v/>
      </c>
      <c r="G33" s="5" t="n">
        <v>-69455.79478</v>
      </c>
      <c r="H33" s="5" t="n">
        <v>0</v>
      </c>
      <c r="I33" s="5">
        <f>H33-G33</f>
        <v/>
      </c>
      <c r="J33" s="5" t="n">
        <v>-69934.56047</v>
      </c>
      <c r="K33" s="5" t="n">
        <v>0</v>
      </c>
      <c r="L33" s="5">
        <f>K33-J33</f>
        <v/>
      </c>
    </row>
    <row r="34">
      <c r="A34" s="4" t="inlineStr">
        <is>
          <t>Salários, provisões e encargos sociais</t>
        </is>
      </c>
      <c r="B34" s="4" t="inlineStr">
        <is>
          <t>INSS</t>
        </is>
      </c>
      <c r="C34" s="4" t="inlineStr">
        <is>
          <t>na DRE</t>
        </is>
      </c>
      <c r="D34" s="5" t="n">
        <v>-167133.37852</v>
      </c>
      <c r="E34" s="5" t="n">
        <v>-180158.41</v>
      </c>
      <c r="F34" s="5">
        <f>E34-D34</f>
        <v/>
      </c>
      <c r="G34" s="5" t="n">
        <v>-173358.64439</v>
      </c>
      <c r="H34" s="5" t="n">
        <v>-162194.06</v>
      </c>
      <c r="I34" s="5">
        <f>H34-G34</f>
        <v/>
      </c>
      <c r="J34" s="5" t="n">
        <v>-160294.75128</v>
      </c>
      <c r="K34" s="5" t="n">
        <v>-173292.88</v>
      </c>
      <c r="L34" s="5">
        <f>K34-J34</f>
        <v/>
      </c>
    </row>
    <row r="35">
      <c r="A35" s="4" t="inlineStr">
        <is>
          <t>Salários, provisões e encargos sociais</t>
        </is>
      </c>
      <c r="B35" s="4" t="inlineStr">
        <is>
          <t>FGTS</t>
        </is>
      </c>
      <c r="C35" s="4" t="inlineStr">
        <is>
          <t>na DRE</t>
        </is>
      </c>
      <c r="D35" s="5" t="n">
        <v>-55859.3064</v>
      </c>
      <c r="E35" s="5" t="n">
        <v>-62225.32999999999</v>
      </c>
      <c r="F35" s="5">
        <f>E35-D35</f>
        <v/>
      </c>
      <c r="G35" s="5" t="n">
        <v>-53425.28720000001</v>
      </c>
      <c r="H35" s="5" t="n">
        <v>-55248.26</v>
      </c>
      <c r="I35" s="5">
        <f>H35-G35</f>
        <v/>
      </c>
      <c r="J35" s="5" t="n">
        <v>-53150.1496</v>
      </c>
      <c r="K35" s="5" t="n">
        <v>-57040.68</v>
      </c>
      <c r="L35" s="5">
        <f>K35-J35</f>
        <v/>
      </c>
    </row>
    <row r="36">
      <c r="A36" s="4" t="inlineStr">
        <is>
          <t>Salários, provisões e encargos sociais</t>
        </is>
      </c>
      <c r="B36" s="4" t="inlineStr">
        <is>
          <t>Assistência Médica</t>
        </is>
      </c>
      <c r="C36" s="4" t="inlineStr">
        <is>
          <t>na DRE</t>
        </is>
      </c>
      <c r="D36" s="5" t="n">
        <v>-18809.09</v>
      </c>
      <c r="E36" s="5" t="n">
        <v>-36973.32999999999</v>
      </c>
      <c r="F36" s="5">
        <f>E36-D36</f>
        <v/>
      </c>
      <c r="G36" s="5" t="n">
        <v>-7587.98</v>
      </c>
      <c r="H36" s="5" t="n">
        <v>-27185.16</v>
      </c>
      <c r="I36" s="5">
        <f>H36-G36</f>
        <v/>
      </c>
      <c r="J36" s="5" t="n">
        <v>-9551.57</v>
      </c>
      <c r="K36" s="5" t="n">
        <v>-28155.37</v>
      </c>
      <c r="L36" s="5">
        <f>K36-J36</f>
        <v/>
      </c>
    </row>
    <row r="37">
      <c r="A37" s="4" t="inlineStr">
        <is>
          <t>Salários, provisões e encargos sociais</t>
        </is>
      </c>
      <c r="B37" s="4" t="inlineStr">
        <is>
          <t>Benefícios Flexíveis</t>
        </is>
      </c>
      <c r="C37" s="4" t="inlineStr">
        <is>
          <t>na DRE</t>
        </is>
      </c>
      <c r="D37" s="5" t="n">
        <v>-116650.91</v>
      </c>
      <c r="E37" s="5" t="n">
        <v>-123033.29</v>
      </c>
      <c r="F37" s="5">
        <f>E37-D37</f>
        <v/>
      </c>
      <c r="G37" s="5" t="n">
        <v>-116022.9</v>
      </c>
      <c r="H37" s="5" t="n">
        <v>-116069.43</v>
      </c>
      <c r="I37" s="5">
        <f>H37-G37</f>
        <v/>
      </c>
      <c r="J37" s="5" t="n">
        <v>-114363.01</v>
      </c>
      <c r="K37" s="5" t="n">
        <v>-115501.72</v>
      </c>
      <c r="L37" s="5">
        <f>K37-J37</f>
        <v/>
      </c>
    </row>
    <row r="38">
      <c r="A38" s="4" t="inlineStr">
        <is>
          <t>Salários, provisões e encargos sociais</t>
        </is>
      </c>
      <c r="B38" s="4" t="inlineStr">
        <is>
          <t>Vale Transporte</t>
        </is>
      </c>
      <c r="C38" s="4" t="inlineStr">
        <is>
          <t>na DRE</t>
        </is>
      </c>
      <c r="D38" s="5" t="n">
        <v>-1375.67</v>
      </c>
      <c r="E38" s="5" t="n">
        <v>-1867.5</v>
      </c>
      <c r="F38" s="5">
        <f>E38-D38</f>
        <v/>
      </c>
      <c r="G38" s="5" t="n">
        <v>-535.03</v>
      </c>
      <c r="H38" s="5" t="n">
        <v>-397.5</v>
      </c>
      <c r="I38" s="5">
        <f>H38-G38</f>
        <v/>
      </c>
      <c r="J38" s="5" t="n">
        <v>-405</v>
      </c>
      <c r="K38" s="5" t="n">
        <v>-472.5</v>
      </c>
      <c r="L38" s="5">
        <f>K38-J38</f>
        <v/>
      </c>
    </row>
    <row r="39">
      <c r="A39" s="4" t="inlineStr">
        <is>
          <t>Salários, provisões e encargos sociais</t>
        </is>
      </c>
      <c r="B39" s="4" t="inlineStr">
        <is>
          <t>Seguro de Vida</t>
        </is>
      </c>
      <c r="C39" s="4" t="inlineStr">
        <is>
          <t>na DRE</t>
        </is>
      </c>
      <c r="D39" s="5" t="n">
        <v>0</v>
      </c>
      <c r="E39" s="5" t="n">
        <v>0</v>
      </c>
      <c r="F39" s="5">
        <f>E39-D39</f>
        <v/>
      </c>
      <c r="G39" s="5" t="n">
        <v>-26.25</v>
      </c>
      <c r="H39" s="5" t="n">
        <v>-26.25</v>
      </c>
      <c r="I39" s="5">
        <f>H39-G39</f>
        <v/>
      </c>
      <c r="J39" s="5" t="n">
        <v>0</v>
      </c>
      <c r="K39" s="5" t="n">
        <v>0</v>
      </c>
      <c r="L39" s="5">
        <f>K39-J39</f>
        <v/>
      </c>
    </row>
    <row r="40">
      <c r="A40" s="4" t="inlineStr">
        <is>
          <t>Salários, provisões e encargos sociais</t>
        </is>
      </c>
      <c r="B40" s="4" t="inlineStr">
        <is>
          <t>Refeições</t>
        </is>
      </c>
      <c r="C40" s="4" t="inlineStr">
        <is>
          <t>na DRE</t>
        </is>
      </c>
      <c r="D40" s="5" t="n">
        <v>-50639.8</v>
      </c>
      <c r="E40" s="5" t="n">
        <v>-50639.8</v>
      </c>
      <c r="F40" s="5">
        <f>E40-D40</f>
        <v/>
      </c>
      <c r="G40" s="5" t="n">
        <v>-50143.5</v>
      </c>
      <c r="H40" s="5" t="n">
        <v>-50143.5</v>
      </c>
      <c r="I40" s="5">
        <f>H40-G40</f>
        <v/>
      </c>
      <c r="J40" s="5" t="n">
        <v>-61752.89999999999</v>
      </c>
      <c r="K40" s="5" t="n">
        <v>-56458.39999999999</v>
      </c>
      <c r="L40" s="5">
        <f>K40-J40</f>
        <v/>
      </c>
    </row>
    <row r="41">
      <c r="A41" s="4" t="inlineStr">
        <is>
          <t>Salários, provisões e encargos sociais</t>
        </is>
      </c>
      <c r="B41" s="4" t="inlineStr">
        <is>
          <t>Auxílio Home Office</t>
        </is>
      </c>
      <c r="C41" s="4" t="inlineStr">
        <is>
          <t>na DRE</t>
        </is>
      </c>
      <c r="D41" s="5" t="n">
        <v>-10770</v>
      </c>
      <c r="E41" s="5" t="n">
        <v>0</v>
      </c>
      <c r="F41" s="5">
        <f>E41-D41</f>
        <v/>
      </c>
      <c r="G41" s="5" t="n">
        <v>-10170</v>
      </c>
      <c r="H41" s="5" t="n">
        <v>0</v>
      </c>
      <c r="I41" s="5">
        <f>H41-G41</f>
        <v/>
      </c>
      <c r="J41" s="5" t="n">
        <v>-10170</v>
      </c>
      <c r="K41" s="5" t="n">
        <v>0</v>
      </c>
      <c r="L41" s="5">
        <f>K41-J41</f>
        <v/>
      </c>
    </row>
    <row r="42">
      <c r="A42" s="4" t="inlineStr">
        <is>
          <t>Salários, provisões e encargos sociais</t>
        </is>
      </c>
      <c r="B42" s="4" t="inlineStr">
        <is>
          <t>Sócios: pró-labore + bônus EBITDA</t>
        </is>
      </c>
      <c r="C42" s="4" t="inlineStr">
        <is>
          <t>na DRE</t>
        </is>
      </c>
      <c r="D42" s="5" t="n">
        <v>-767707.9</v>
      </c>
      <c r="E42" s="5" t="n">
        <v>-824067.8300000001</v>
      </c>
      <c r="F42" s="5">
        <f>E42-D42</f>
        <v/>
      </c>
      <c r="G42" s="5" t="n">
        <v>-788471.8500000001</v>
      </c>
      <c r="H42" s="5" t="n">
        <v>-695441.5700000001</v>
      </c>
      <c r="I42" s="5">
        <f>H42-G42</f>
        <v/>
      </c>
      <c r="J42" s="5" t="n">
        <v>-788471.8500000001</v>
      </c>
      <c r="K42" s="5" t="n">
        <v>-1068157.24</v>
      </c>
      <c r="L42" s="5">
        <f>K42-J42</f>
        <v/>
      </c>
    </row>
    <row r="43">
      <c r="A43" s="4" t="inlineStr">
        <is>
          <t>Salários, provisões e encargos sociais</t>
        </is>
      </c>
      <c r="B43" s="4" t="inlineStr">
        <is>
          <t>PLR</t>
        </is>
      </c>
      <c r="C43" s="4" t="inlineStr">
        <is>
          <t>na DRE</t>
        </is>
      </c>
      <c r="D43" s="5" t="n">
        <v>-86797.02458</v>
      </c>
      <c r="E43" s="5" t="n">
        <v>-214524.65</v>
      </c>
      <c r="F43" s="5">
        <f>E43-D43</f>
        <v/>
      </c>
      <c r="G43" s="5" t="n">
        <v>-79996.94034</v>
      </c>
      <c r="H43" s="5" t="n">
        <v>-750</v>
      </c>
      <c r="I43" s="5">
        <f>H43-G43</f>
        <v/>
      </c>
      <c r="J43" s="5" t="n">
        <v>-85802.24379000001</v>
      </c>
      <c r="K43" s="5" t="n">
        <v>-162674.09</v>
      </c>
      <c r="L43" s="5">
        <f>K43-J43</f>
        <v/>
      </c>
    </row>
    <row r="44">
      <c r="A44" s="4" t="inlineStr">
        <is>
          <t>Salários, provisões e encargos sociais</t>
        </is>
      </c>
      <c r="B44" s="4" t="inlineStr">
        <is>
          <t>Outros (sindical, exames)</t>
        </is>
      </c>
      <c r="C44" s="4" t="inlineStr">
        <is>
          <t>na DRE</t>
        </is>
      </c>
      <c r="D44" s="5" t="n">
        <v>-1605.4</v>
      </c>
      <c r="E44" s="5" t="n">
        <v>-1416.43</v>
      </c>
      <c r="F44" s="5">
        <f>E44-D44</f>
        <v/>
      </c>
      <c r="G44" s="5" t="n">
        <v>-2405.84</v>
      </c>
      <c r="H44" s="5" t="n">
        <v>-2194.63</v>
      </c>
      <c r="I44" s="5">
        <f>H44-G44</f>
        <v/>
      </c>
      <c r="J44" s="5" t="n">
        <v>-1488.78</v>
      </c>
      <c r="K44" s="5" t="n">
        <v>-1798.96</v>
      </c>
      <c r="L44" s="5">
        <f>K44-J44</f>
        <v/>
      </c>
    </row>
    <row r="45">
      <c r="A45" s="4" t="inlineStr">
        <is>
          <t>Salários, provisões e encargos sociais</t>
        </is>
      </c>
      <c r="B45" s="4" t="inlineStr">
        <is>
          <t>Contratados PJ</t>
        </is>
      </c>
      <c r="C45" s="4" t="inlineStr">
        <is>
          <t>na DRE</t>
        </is>
      </c>
      <c r="D45" s="5" t="n">
        <v>-30502.31</v>
      </c>
      <c r="E45" s="5" t="n">
        <v>-1650</v>
      </c>
      <c r="F45" s="5">
        <f>E45-D45</f>
        <v/>
      </c>
      <c r="G45" s="5" t="n">
        <v>-38950</v>
      </c>
      <c r="H45" s="5" t="n">
        <v>-22150</v>
      </c>
      <c r="I45" s="5">
        <f>H45-G45</f>
        <v/>
      </c>
      <c r="J45" s="5" t="n">
        <v>-73950</v>
      </c>
      <c r="K45" s="5" t="n">
        <v>-28650</v>
      </c>
      <c r="L45" s="5">
        <f>K45-J45</f>
        <v/>
      </c>
    </row>
    <row r="46">
      <c r="A46" s="4" t="inlineStr">
        <is>
          <t>Salários, provisões e encargos sociais</t>
        </is>
      </c>
      <c r="B46" s="4" t="inlineStr">
        <is>
          <t>Endomarketing</t>
        </is>
      </c>
      <c r="C46" s="4" t="inlineStr">
        <is>
          <t>na DRE</t>
        </is>
      </c>
      <c r="D46" s="5" t="n">
        <v>-17555.8</v>
      </c>
      <c r="E46" s="5" t="n">
        <v>-39899.29</v>
      </c>
      <c r="F46" s="5">
        <f>E46-D46</f>
        <v/>
      </c>
      <c r="G46" s="5" t="n">
        <v>-20041.88</v>
      </c>
      <c r="H46" s="5" t="n">
        <v>-18564.17</v>
      </c>
      <c r="I46" s="5">
        <f>H46-G46</f>
        <v/>
      </c>
      <c r="J46" s="5" t="n">
        <v>-11778.37</v>
      </c>
      <c r="K46" s="5" t="n">
        <v>-12617.65</v>
      </c>
      <c r="L46" s="5">
        <f>K46-J46</f>
        <v/>
      </c>
    </row>
    <row r="47">
      <c r="A47" s="4" t="inlineStr">
        <is>
          <t>Salários, provisões e encargos sociais</t>
        </is>
      </c>
      <c r="B47" s="4" t="inlineStr">
        <is>
          <t>Comissões [VE]</t>
        </is>
      </c>
      <c r="C47" s="4" t="inlineStr">
        <is>
          <t>sem DRE</t>
        </is>
      </c>
      <c r="D47" s="5" t="n">
        <v>0</v>
      </c>
      <c r="E47" s="5" t="n">
        <v>0</v>
      </c>
      <c r="F47" s="5">
        <f>E47-D47</f>
        <v/>
      </c>
      <c r="G47" s="5" t="n">
        <v>0</v>
      </c>
      <c r="H47" s="5" t="n">
        <v>0</v>
      </c>
      <c r="I47" s="5">
        <f>H47-G47</f>
        <v/>
      </c>
      <c r="J47" s="5" t="n">
        <v>0</v>
      </c>
      <c r="K47" s="5" t="n">
        <v>-21000</v>
      </c>
      <c r="L47" s="5">
        <f>K47-J47</f>
        <v/>
      </c>
    </row>
    <row r="48">
      <c r="A48" s="4" t="inlineStr">
        <is>
          <t>Despesas Diretas</t>
        </is>
      </c>
      <c r="B48" s="4" t="inlineStr">
        <is>
          <t>Comissões</t>
        </is>
      </c>
      <c r="C48" s="4" t="inlineStr">
        <is>
          <t>na DRE</t>
        </is>
      </c>
      <c r="D48" s="5" t="n">
        <v>-38900.01</v>
      </c>
      <c r="E48" s="5" t="n">
        <v>-96599.50999999999</v>
      </c>
      <c r="F48" s="5">
        <f>E48-D48</f>
        <v/>
      </c>
      <c r="G48" s="5" t="n">
        <v>-49100.00999999999</v>
      </c>
      <c r="H48" s="5" t="n">
        <v>-4812.51</v>
      </c>
      <c r="I48" s="5">
        <f>H48-G48</f>
        <v/>
      </c>
      <c r="J48" s="5" t="n">
        <v>-63500.00999999999</v>
      </c>
      <c r="K48" s="5" t="n">
        <v>-74772.17</v>
      </c>
      <c r="L48" s="5">
        <f>K48-J48</f>
        <v/>
      </c>
    </row>
    <row r="49">
      <c r="A49" s="4" t="inlineStr">
        <is>
          <t>Despesas Diretas</t>
        </is>
      </c>
      <c r="B49" s="4" t="inlineStr">
        <is>
          <t>Custos Festas de Arrecadação</t>
        </is>
      </c>
      <c r="C49" s="4" t="inlineStr">
        <is>
          <t>na DRE</t>
        </is>
      </c>
      <c r="D49" s="5" t="n">
        <v>-6103.270329999999</v>
      </c>
      <c r="E49" s="5" t="n">
        <v>0</v>
      </c>
      <c r="F49" s="5">
        <f>E49-D49</f>
        <v/>
      </c>
      <c r="G49" s="5" t="n">
        <v>-196311.30482</v>
      </c>
      <c r="H49" s="5" t="n">
        <v>-18303.25</v>
      </c>
      <c r="I49" s="5">
        <f>H49-G49</f>
        <v/>
      </c>
      <c r="J49" s="5" t="n">
        <v>-7660.556589999999</v>
      </c>
      <c r="K49" s="5" t="n">
        <v>-17807.46</v>
      </c>
      <c r="L49" s="5">
        <f>K49-J49</f>
        <v/>
      </c>
    </row>
    <row r="50">
      <c r="A50" s="4" t="inlineStr">
        <is>
          <t>Despesas Diretas</t>
        </is>
      </c>
      <c r="B50" s="4" t="inlineStr">
        <is>
          <t>Custos com Treinamentos</t>
        </is>
      </c>
      <c r="C50" s="4" t="inlineStr">
        <is>
          <t>na DRE</t>
        </is>
      </c>
      <c r="D50" s="5" t="n">
        <v>-56888.46</v>
      </c>
      <c r="E50" s="5" t="n">
        <v>-46500.95999999999</v>
      </c>
      <c r="F50" s="5">
        <f>E50-D50</f>
        <v/>
      </c>
      <c r="G50" s="5" t="n">
        <v>-14134.55</v>
      </c>
      <c r="H50" s="5" t="n">
        <v>-25141.07</v>
      </c>
      <c r="I50" s="5">
        <f>H50-G50</f>
        <v/>
      </c>
      <c r="J50" s="5" t="n">
        <v>-139596.22</v>
      </c>
      <c r="K50" s="5" t="n">
        <v>-246672.44</v>
      </c>
      <c r="L50" s="5">
        <f>K50-J50</f>
        <v/>
      </c>
    </row>
    <row r="51">
      <c r="A51" s="4" t="inlineStr">
        <is>
          <t>Despesas Diretas</t>
        </is>
      </c>
      <c r="B51" s="4" t="inlineStr">
        <is>
          <t>Diárias Consultorias</t>
        </is>
      </c>
      <c r="C51" s="4" t="inlineStr">
        <is>
          <t>na DRE</t>
        </is>
      </c>
      <c r="D51" s="5" t="n">
        <v>-74849.06</v>
      </c>
      <c r="E51" s="5" t="n">
        <v>-65124.73</v>
      </c>
      <c r="F51" s="5">
        <f>E51-D51</f>
        <v/>
      </c>
      <c r="G51" s="5" t="n">
        <v>-59082.71000000001</v>
      </c>
      <c r="H51" s="5" t="n">
        <v>-60259.21</v>
      </c>
      <c r="I51" s="5">
        <f>H51-G51</f>
        <v/>
      </c>
      <c r="J51" s="5" t="n">
        <v>-29224.2</v>
      </c>
      <c r="K51" s="5" t="n">
        <v>-23721.73</v>
      </c>
      <c r="L51" s="5">
        <f>K51-J51</f>
        <v/>
      </c>
    </row>
    <row r="52">
      <c r="A52" s="4" t="inlineStr">
        <is>
          <t>Despesas Diretas</t>
        </is>
      </c>
      <c r="B52" s="4" t="inlineStr">
        <is>
          <t>Seguro da Arrecadação</t>
        </is>
      </c>
      <c r="C52" s="4" t="inlineStr">
        <is>
          <t>na DRE</t>
        </is>
      </c>
      <c r="D52" s="5" t="n">
        <v>-6283.09</v>
      </c>
      <c r="E52" s="5" t="n">
        <v>-6283.09</v>
      </c>
      <c r="F52" s="5">
        <f>E52-D52</f>
        <v/>
      </c>
      <c r="G52" s="5" t="n">
        <v>0</v>
      </c>
      <c r="H52" s="5" t="n">
        <v>0</v>
      </c>
      <c r="I52" s="5">
        <f>H52-G52</f>
        <v/>
      </c>
      <c r="J52" s="5" t="n">
        <v>0</v>
      </c>
      <c r="K52" s="5" t="n">
        <v>0</v>
      </c>
      <c r="L52" s="5">
        <f>K52-J52</f>
        <v/>
      </c>
    </row>
    <row r="53">
      <c r="A53" s="4" t="inlineStr">
        <is>
          <t>Despesas Diretas</t>
        </is>
      </c>
      <c r="B53" s="4" t="inlineStr">
        <is>
          <t>Cobertura Fotográfica [VCO]</t>
        </is>
      </c>
      <c r="C53" s="4" t="inlineStr">
        <is>
          <t>sem DRE</t>
        </is>
      </c>
      <c r="D53" s="5" t="n">
        <v>0</v>
      </c>
      <c r="E53" s="5" t="n">
        <v>0</v>
      </c>
      <c r="F53" s="5">
        <f>E53-D53</f>
        <v/>
      </c>
      <c r="G53" s="5" t="n">
        <v>0</v>
      </c>
      <c r="H53" s="5" t="n">
        <v>0</v>
      </c>
      <c r="I53" s="5">
        <f>H53-G53</f>
        <v/>
      </c>
      <c r="J53" s="5" t="n">
        <v>0</v>
      </c>
      <c r="K53" s="5" t="n">
        <v>-6839.84</v>
      </c>
      <c r="L53" s="5">
        <f>K53-J53</f>
        <v/>
      </c>
    </row>
    <row r="54">
      <c r="A54" s="4" t="inlineStr">
        <is>
          <t>Despesas Diretas</t>
        </is>
      </c>
      <c r="B54" s="4" t="inlineStr">
        <is>
          <t>Cobertura Fotográfica [VE]</t>
        </is>
      </c>
      <c r="C54" s="4" t="inlineStr">
        <is>
          <t>sem DRE</t>
        </is>
      </c>
      <c r="D54" s="5" t="n">
        <v>0</v>
      </c>
      <c r="E54" s="5" t="n">
        <v>0</v>
      </c>
      <c r="F54" s="5">
        <f>E54-D54</f>
        <v/>
      </c>
      <c r="G54" s="5" t="n">
        <v>0</v>
      </c>
      <c r="H54" s="5" t="n">
        <v>0</v>
      </c>
      <c r="I54" s="5">
        <f>H54-G54</f>
        <v/>
      </c>
      <c r="J54" s="5" t="n">
        <v>0</v>
      </c>
      <c r="K54" s="5" t="n">
        <v>-16886.05</v>
      </c>
      <c r="L54" s="5">
        <f>K54-J54</f>
        <v/>
      </c>
    </row>
    <row r="55">
      <c r="A55" s="4" t="inlineStr">
        <is>
          <t>Despesas Administrativas</t>
        </is>
      </c>
      <c r="B55" s="4" t="inlineStr">
        <is>
          <t>Aluguel</t>
        </is>
      </c>
      <c r="C55" s="4" t="inlineStr">
        <is>
          <t>na DRE</t>
        </is>
      </c>
      <c r="D55" s="5" t="n">
        <v>-51005.31</v>
      </c>
      <c r="E55" s="5" t="n">
        <v>-50833.89</v>
      </c>
      <c r="F55" s="5">
        <f>E55-D55</f>
        <v/>
      </c>
      <c r="G55" s="5" t="n">
        <v>-51043.35000000001</v>
      </c>
      <c r="H55" s="5" t="n">
        <v>-35043.34999999999</v>
      </c>
      <c r="I55" s="5">
        <f>H55-G55</f>
        <v/>
      </c>
      <c r="J55" s="5" t="n">
        <v>-51043.35000000001</v>
      </c>
      <c r="K55" s="5" t="n">
        <v>-51043.34999999999</v>
      </c>
      <c r="L55" s="5">
        <f>K55-J55</f>
        <v/>
      </c>
    </row>
    <row r="56">
      <c r="A56" s="4" t="inlineStr">
        <is>
          <t>Despesas Administrativas</t>
        </is>
      </c>
      <c r="B56" s="4" t="inlineStr">
        <is>
          <t>Energia Elétrica</t>
        </is>
      </c>
      <c r="C56" s="4" t="inlineStr">
        <is>
          <t>na DRE</t>
        </is>
      </c>
      <c r="D56" s="5" t="n">
        <v>-8356.380000000001</v>
      </c>
      <c r="E56" s="5" t="n">
        <v>-8365.4</v>
      </c>
      <c r="F56" s="5">
        <f>E56-D56</f>
        <v/>
      </c>
      <c r="G56" s="5" t="n">
        <v>-7361.57</v>
      </c>
      <c r="H56" s="5" t="n">
        <v>-7843.75</v>
      </c>
      <c r="I56" s="5">
        <f>H56-G56</f>
        <v/>
      </c>
      <c r="J56" s="5" t="n">
        <v>-7058.24</v>
      </c>
      <c r="K56" s="5" t="n">
        <v>-6952.040000000001</v>
      </c>
      <c r="L56" s="5">
        <f>K56-J56</f>
        <v/>
      </c>
    </row>
    <row r="57">
      <c r="A57" s="4" t="inlineStr">
        <is>
          <t>Despesas Administrativas</t>
        </is>
      </c>
      <c r="B57" s="4" t="inlineStr">
        <is>
          <t>Telefonia e Internet</t>
        </is>
      </c>
      <c r="C57" s="4" t="inlineStr">
        <is>
          <t>na DRE</t>
        </is>
      </c>
      <c r="D57" s="5" t="n">
        <v>-4126.57</v>
      </c>
      <c r="E57" s="5" t="n">
        <v>-4490.84</v>
      </c>
      <c r="F57" s="5">
        <f>E57-D57</f>
        <v/>
      </c>
      <c r="G57" s="5" t="n">
        <v>-5085.32</v>
      </c>
      <c r="H57" s="5" t="n">
        <v>-4901.96</v>
      </c>
      <c r="I57" s="5">
        <f>H57-G57</f>
        <v/>
      </c>
      <c r="J57" s="5" t="n">
        <v>-3904.94</v>
      </c>
      <c r="K57" s="5" t="n">
        <v>-4453.26</v>
      </c>
      <c r="L57" s="5">
        <f>K57-J57</f>
        <v/>
      </c>
    </row>
    <row r="58">
      <c r="A58" s="4" t="inlineStr">
        <is>
          <t>Despesas Administrativas</t>
        </is>
      </c>
      <c r="B58" s="4" t="inlineStr">
        <is>
          <t>Manutenção de Imobilizado</t>
        </is>
      </c>
      <c r="C58" s="4" t="inlineStr">
        <is>
          <t>na DRE</t>
        </is>
      </c>
      <c r="D58" s="5" t="n">
        <v>-5422.6</v>
      </c>
      <c r="E58" s="5" t="n">
        <v>-5422.6</v>
      </c>
      <c r="F58" s="5">
        <f>E58-D58</f>
        <v/>
      </c>
      <c r="G58" s="5" t="n">
        <v>-5485.29</v>
      </c>
      <c r="H58" s="5" t="n">
        <v>-5652.29</v>
      </c>
      <c r="I58" s="5">
        <f>H58-G58</f>
        <v/>
      </c>
      <c r="J58" s="5" t="n">
        <v>-6461.860000000001</v>
      </c>
      <c r="K58" s="5" t="n">
        <v>-6883.860000000001</v>
      </c>
      <c r="L58" s="5">
        <f>K58-J58</f>
        <v/>
      </c>
    </row>
    <row r="59">
      <c r="A59" s="4" t="inlineStr">
        <is>
          <t>Despesas Administrativas</t>
        </is>
      </c>
      <c r="B59" s="4" t="inlineStr">
        <is>
          <t>Contabilidade</t>
        </is>
      </c>
      <c r="C59" s="4" t="inlineStr">
        <is>
          <t>na DRE</t>
        </is>
      </c>
      <c r="D59" s="5" t="n">
        <v>-25642.83</v>
      </c>
      <c r="E59" s="5" t="n">
        <v>-23219.06</v>
      </c>
      <c r="F59" s="5">
        <f>E59-D59</f>
        <v/>
      </c>
      <c r="G59" s="5" t="n">
        <v>-26508.59</v>
      </c>
      <c r="H59" s="5" t="n">
        <v>-25774.59</v>
      </c>
      <c r="I59" s="5">
        <f>H59-G59</f>
        <v/>
      </c>
      <c r="J59" s="5" t="n">
        <v>-27422.49</v>
      </c>
      <c r="K59" s="5" t="n">
        <v>-27310.13</v>
      </c>
      <c r="L59" s="5">
        <f>K59-J59</f>
        <v/>
      </c>
    </row>
    <row r="60">
      <c r="A60" s="4" t="inlineStr">
        <is>
          <t>Despesas Administrativas</t>
        </is>
      </c>
      <c r="B60" s="4" t="inlineStr">
        <is>
          <t>Advogados</t>
        </is>
      </c>
      <c r="C60" s="4" t="inlineStr">
        <is>
          <t>na DRE</t>
        </is>
      </c>
      <c r="D60" s="5" t="n">
        <v>-21856.98</v>
      </c>
      <c r="E60" s="5" t="n">
        <v>-21753.98</v>
      </c>
      <c r="F60" s="5">
        <f>E60-D60</f>
        <v/>
      </c>
      <c r="G60" s="5" t="n">
        <v>-22217.63</v>
      </c>
      <c r="H60" s="5" t="n">
        <v>-22217.63</v>
      </c>
      <c r="I60" s="5">
        <f>H60-G60</f>
        <v/>
      </c>
      <c r="J60" s="5" t="n">
        <v>-21856.98</v>
      </c>
      <c r="K60" s="5" t="n">
        <v>-21856.98</v>
      </c>
      <c r="L60" s="5">
        <f>K60-J60</f>
        <v/>
      </c>
    </row>
    <row r="61">
      <c r="A61" s="4" t="inlineStr">
        <is>
          <t>Despesas Administrativas</t>
        </is>
      </c>
      <c r="B61" s="4" t="inlineStr">
        <is>
          <t>Softwares</t>
        </is>
      </c>
      <c r="C61" s="4" t="inlineStr">
        <is>
          <t>na DRE</t>
        </is>
      </c>
      <c r="D61" s="5" t="n">
        <v>-113770.77</v>
      </c>
      <c r="E61" s="5" t="n">
        <v>-79341.16</v>
      </c>
      <c r="F61" s="5">
        <f>E61-D61</f>
        <v/>
      </c>
      <c r="G61" s="5" t="n">
        <v>-88046.94</v>
      </c>
      <c r="H61" s="5" t="n">
        <v>-84075.56</v>
      </c>
      <c r="I61" s="5">
        <f>H61-G61</f>
        <v/>
      </c>
      <c r="J61" s="5" t="n">
        <v>-73866.24000000001</v>
      </c>
      <c r="K61" s="5" t="n">
        <v>-78545.44</v>
      </c>
      <c r="L61" s="5">
        <f>K61-J61</f>
        <v/>
      </c>
    </row>
    <row r="62">
      <c r="A62" s="4" t="inlineStr">
        <is>
          <t>Despesas Administrativas</t>
        </is>
      </c>
      <c r="B62" s="4" t="inlineStr">
        <is>
          <t>Outras Despesas Administrativas</t>
        </is>
      </c>
      <c r="C62" s="4" t="inlineStr">
        <is>
          <t>na DRE</t>
        </is>
      </c>
      <c r="D62" s="5" t="n">
        <v>-4995.63</v>
      </c>
      <c r="E62" s="5" t="n">
        <v>-8485.880000000001</v>
      </c>
      <c r="F62" s="5">
        <f>E62-D62</f>
        <v/>
      </c>
      <c r="G62" s="5" t="n">
        <v>-23157.11</v>
      </c>
      <c r="H62" s="5" t="n">
        <v>-15167.66</v>
      </c>
      <c r="I62" s="5">
        <f>H62-G62</f>
        <v/>
      </c>
      <c r="J62" s="5" t="n">
        <v>-6920.06</v>
      </c>
      <c r="K62" s="5" t="n">
        <v>-5935.47</v>
      </c>
      <c r="L62" s="5">
        <f>K62-J62</f>
        <v/>
      </c>
    </row>
    <row r="63">
      <c r="A63" s="4" t="inlineStr">
        <is>
          <t>Despesas Administrativas</t>
        </is>
      </c>
      <c r="B63" s="4" t="inlineStr">
        <is>
          <t>Material/Mercado</t>
        </is>
      </c>
      <c r="C63" s="4" t="inlineStr">
        <is>
          <t>na DRE</t>
        </is>
      </c>
      <c r="D63" s="5" t="n">
        <v>-8573.43</v>
      </c>
      <c r="E63" s="5" t="n">
        <v>-14620.64</v>
      </c>
      <c r="F63" s="5">
        <f>E63-D63</f>
        <v/>
      </c>
      <c r="G63" s="5" t="n">
        <v>-9106.139999999999</v>
      </c>
      <c r="H63" s="5" t="n">
        <v>-10435.41</v>
      </c>
      <c r="I63" s="5">
        <f>H63-G63</f>
        <v/>
      </c>
      <c r="J63" s="5" t="n">
        <v>-11237.11</v>
      </c>
      <c r="K63" s="5" t="n">
        <v>-8474.900000000001</v>
      </c>
      <c r="L63" s="5">
        <f>K63-J63</f>
        <v/>
      </c>
    </row>
    <row r="64">
      <c r="A64" s="4" t="inlineStr">
        <is>
          <t>Despesas Administrativas</t>
        </is>
      </c>
      <c r="B64" s="4" t="inlineStr">
        <is>
          <t>Fretes</t>
        </is>
      </c>
      <c r="C64" s="4" t="inlineStr">
        <is>
          <t>na DRE</t>
        </is>
      </c>
      <c r="D64" s="5" t="n">
        <v>-3696.75</v>
      </c>
      <c r="E64" s="5" t="n">
        <v>-3542.81</v>
      </c>
      <c r="F64" s="5">
        <f>E64-D64</f>
        <v/>
      </c>
      <c r="G64" s="5" t="n">
        <v>-2370</v>
      </c>
      <c r="H64" s="5" t="n">
        <v>-2896.89</v>
      </c>
      <c r="I64" s="5">
        <f>H64-G64</f>
        <v/>
      </c>
      <c r="J64" s="5" t="n">
        <v>-3248.59</v>
      </c>
      <c r="K64" s="5" t="n">
        <v>-3324.85</v>
      </c>
      <c r="L64" s="5">
        <f>K64-J64</f>
        <v/>
      </c>
    </row>
    <row r="65">
      <c r="A65" s="4" t="inlineStr">
        <is>
          <t>Despesas Administrativas</t>
        </is>
      </c>
      <c r="B65" s="4" t="inlineStr">
        <is>
          <t>Consultorias e Treinamentos</t>
        </is>
      </c>
      <c r="C65" s="4" t="inlineStr">
        <is>
          <t>na DRE</t>
        </is>
      </c>
      <c r="D65" s="5" t="n">
        <v>-59687.91</v>
      </c>
      <c r="E65" s="5" t="n">
        <v>-57266.95</v>
      </c>
      <c r="F65" s="5">
        <f>E65-D65</f>
        <v/>
      </c>
      <c r="G65" s="5" t="n">
        <v>-82875.01000000001</v>
      </c>
      <c r="H65" s="5" t="n">
        <v>-66307.91</v>
      </c>
      <c r="I65" s="5">
        <f>H65-G65</f>
        <v/>
      </c>
      <c r="J65" s="5" t="n">
        <v>-9614.65</v>
      </c>
      <c r="K65" s="5" t="n">
        <v>-10990.47</v>
      </c>
      <c r="L65" s="5">
        <f>K65-J65</f>
        <v/>
      </c>
    </row>
    <row r="66">
      <c r="A66" s="4" t="inlineStr">
        <is>
          <t>Despesas Administrativas</t>
        </is>
      </c>
      <c r="B66" s="4" t="inlineStr">
        <is>
          <t>Associações de Classe</t>
        </is>
      </c>
      <c r="C66" s="4" t="inlineStr">
        <is>
          <t>na DRE</t>
        </is>
      </c>
      <c r="D66" s="5" t="n">
        <v>-6382</v>
      </c>
      <c r="E66" s="5" t="n">
        <v>-6382</v>
      </c>
      <c r="F66" s="5">
        <f>E66-D66</f>
        <v/>
      </c>
      <c r="G66" s="5" t="n">
        <v>-3282</v>
      </c>
      <c r="H66" s="5" t="n">
        <v>-3282</v>
      </c>
      <c r="I66" s="5">
        <f>H66-G66</f>
        <v/>
      </c>
      <c r="J66" s="5" t="n">
        <v>-7282</v>
      </c>
      <c r="K66" s="5" t="n">
        <v>-9282</v>
      </c>
      <c r="L66" s="5">
        <f>K66-J66</f>
        <v/>
      </c>
    </row>
    <row r="67">
      <c r="A67" s="4" t="inlineStr">
        <is>
          <t>Despesas Administrativas</t>
        </is>
      </c>
      <c r="B67" s="4" t="inlineStr">
        <is>
          <t>Taxas Municipais</t>
        </is>
      </c>
      <c r="C67" s="4" t="inlineStr">
        <is>
          <t>na DRE</t>
        </is>
      </c>
      <c r="D67" s="5" t="n">
        <v>-157.28</v>
      </c>
      <c r="E67" s="5" t="n">
        <v>0</v>
      </c>
      <c r="F67" s="5">
        <f>E67-D67</f>
        <v/>
      </c>
      <c r="G67" s="5" t="n">
        <v>-636.33</v>
      </c>
      <c r="H67" s="5" t="n">
        <v>0</v>
      </c>
      <c r="I67" s="5">
        <f>H67-G67</f>
        <v/>
      </c>
      <c r="J67" s="5" t="n">
        <v>0</v>
      </c>
      <c r="K67" s="5" t="n">
        <v>0</v>
      </c>
      <c r="L67" s="5">
        <f>K67-J67</f>
        <v/>
      </c>
    </row>
    <row r="68">
      <c r="A68" s="4" t="inlineStr">
        <is>
          <t>Despesas Administrativas</t>
        </is>
      </c>
      <c r="B68" s="4" t="inlineStr">
        <is>
          <t>Entrada de Transferência [VE]</t>
        </is>
      </c>
      <c r="C68" s="4" t="inlineStr">
        <is>
          <t>sem DRE</t>
        </is>
      </c>
      <c r="D68" s="5" t="n">
        <v>0</v>
      </c>
      <c r="E68" s="5" t="n">
        <v>0</v>
      </c>
      <c r="F68" s="5">
        <f>E68-D68</f>
        <v/>
      </c>
      <c r="G68" s="5" t="n">
        <v>0</v>
      </c>
      <c r="H68" s="5" t="n">
        <v>0</v>
      </c>
      <c r="I68" s="5">
        <f>H68-G68</f>
        <v/>
      </c>
      <c r="J68" s="5" t="n">
        <v>0</v>
      </c>
      <c r="K68" s="5" t="n">
        <v>500</v>
      </c>
      <c r="L68" s="5">
        <f>K68-J68</f>
        <v/>
      </c>
    </row>
    <row r="69">
      <c r="A69" s="4" t="inlineStr">
        <is>
          <t>Despesas Administrativas</t>
        </is>
      </c>
      <c r="B69" s="4" t="inlineStr">
        <is>
          <t>Saída de Transferência [VE]</t>
        </is>
      </c>
      <c r="C69" s="4" t="inlineStr">
        <is>
          <t>sem DRE</t>
        </is>
      </c>
      <c r="D69" s="5" t="n">
        <v>0</v>
      </c>
      <c r="E69" s="5" t="n">
        <v>0</v>
      </c>
      <c r="F69" s="5">
        <f>E69-D69</f>
        <v/>
      </c>
      <c r="G69" s="5" t="n">
        <v>0</v>
      </c>
      <c r="H69" s="5" t="n">
        <v>0</v>
      </c>
      <c r="I69" s="5">
        <f>H69-G69</f>
        <v/>
      </c>
      <c r="J69" s="5" t="n">
        <v>0</v>
      </c>
      <c r="K69" s="5" t="n">
        <v>-500</v>
      </c>
      <c r="L69" s="5">
        <f>K69-J69</f>
        <v/>
      </c>
    </row>
    <row r="70">
      <c r="A70" s="4" t="inlineStr">
        <is>
          <t>Vendas e Marketing</t>
        </is>
      </c>
      <c r="B70" s="4" t="inlineStr">
        <is>
          <t>Marketing</t>
        </is>
      </c>
      <c r="C70" s="4" t="inlineStr">
        <is>
          <t>na DRE</t>
        </is>
      </c>
      <c r="D70" s="5" t="n">
        <v>-9345.050000000001</v>
      </c>
      <c r="E70" s="5" t="n">
        <v>-29887.3</v>
      </c>
      <c r="F70" s="5">
        <f>E70-D70</f>
        <v/>
      </c>
      <c r="G70" s="5" t="n">
        <v>-35790.81</v>
      </c>
      <c r="H70" s="5" t="n">
        <v>-66002.16</v>
      </c>
      <c r="I70" s="5">
        <f>H70-G70</f>
        <v/>
      </c>
      <c r="J70" s="5" t="n">
        <v>-26272.69</v>
      </c>
      <c r="K70" s="5" t="n">
        <v>-26550.85</v>
      </c>
      <c r="L70" s="5">
        <f>K70-J70</f>
        <v/>
      </c>
    </row>
    <row r="71">
      <c r="A71" s="4" t="inlineStr">
        <is>
          <t>Impostos e contribuições a recolher</t>
        </is>
      </c>
      <c r="B71" s="4" t="inlineStr">
        <is>
          <t>PIS/COFINS/ISS - V E</t>
        </is>
      </c>
      <c r="C71" s="4" t="inlineStr">
        <is>
          <t>na DRE</t>
        </is>
      </c>
      <c r="D71" s="5" t="n">
        <v>-195690.454235</v>
      </c>
      <c r="E71" s="5" t="n">
        <v>-237205.56</v>
      </c>
      <c r="F71" s="5">
        <f>E71-D71</f>
        <v/>
      </c>
      <c r="G71" s="5" t="n">
        <v>-142148.978485</v>
      </c>
      <c r="H71" s="5" t="n">
        <v>-112028.33</v>
      </c>
      <c r="I71" s="5">
        <f>H71-G71</f>
        <v/>
      </c>
      <c r="J71" s="5" t="n">
        <v>-125139.20711</v>
      </c>
      <c r="K71" s="5" t="n">
        <v>-155318.48</v>
      </c>
      <c r="L71" s="5">
        <f>K71-J71</f>
        <v/>
      </c>
    </row>
    <row r="72">
      <c r="A72" s="4" t="inlineStr">
        <is>
          <t>Impostos e contribuições a recolher</t>
        </is>
      </c>
      <c r="B72" s="4" t="inlineStr">
        <is>
          <t>IRPJ/CSLL - V E</t>
        </is>
      </c>
      <c r="C72" s="4" t="inlineStr">
        <is>
          <t>na DRE</t>
        </is>
      </c>
      <c r="D72" s="5" t="n">
        <v>-249723.4794</v>
      </c>
      <c r="E72" s="5" t="n">
        <v>-212575.59</v>
      </c>
      <c r="F72" s="5">
        <f>E72-D72</f>
        <v/>
      </c>
      <c r="G72" s="5" t="n">
        <v>-236448.1938</v>
      </c>
      <c r="H72" s="5" t="n">
        <v>-245765.49</v>
      </c>
      <c r="I72" s="5">
        <f>H72-G72</f>
        <v/>
      </c>
      <c r="J72" s="5" t="n">
        <v>-231880.47027</v>
      </c>
      <c r="K72" s="5" t="n">
        <v>-146822.69</v>
      </c>
      <c r="L72" s="5">
        <f>K72-J72</f>
        <v/>
      </c>
    </row>
    <row r="73">
      <c r="A73" s="4" t="inlineStr">
        <is>
          <t>Impostos e contribuições a recolher</t>
        </is>
      </c>
      <c r="B73" s="4" t="inlineStr">
        <is>
          <t>Tributos SPDX + Dataforte (DAS)</t>
        </is>
      </c>
      <c r="C73" s="4" t="inlineStr">
        <is>
          <t>na DRE</t>
        </is>
      </c>
      <c r="D73" s="5" t="n">
        <v>-70677.4438368</v>
      </c>
      <c r="E73" s="5" t="n">
        <v>-148737.98</v>
      </c>
      <c r="F73" s="5">
        <f>E73-D73</f>
        <v/>
      </c>
      <c r="G73" s="5" t="n">
        <v>-91480.40992250001</v>
      </c>
      <c r="H73" s="5" t="n">
        <v>-121937.55</v>
      </c>
      <c r="I73" s="5">
        <f>H73-G73</f>
        <v/>
      </c>
      <c r="J73" s="5" t="n">
        <v>-71077.50645459999</v>
      </c>
      <c r="K73" s="5" t="n">
        <v>-135524.55</v>
      </c>
      <c r="L73" s="5">
        <f>K73-J73</f>
        <v/>
      </c>
    </row>
    <row r="74">
      <c r="A74" s="4" t="inlineStr">
        <is>
          <t>Impostos e contribuições a recolher</t>
        </is>
      </c>
      <c r="B74" s="4" t="inlineStr">
        <is>
          <t>IRPJ - Rendimentos</t>
        </is>
      </c>
      <c r="C74" s="4" t="inlineStr">
        <is>
          <t>na DRE</t>
        </is>
      </c>
      <c r="D74" s="5" t="n">
        <v>-222036.33335</v>
      </c>
      <c r="E74" s="5" t="n">
        <v>0</v>
      </c>
      <c r="F74" s="5">
        <f>E74-D74</f>
        <v/>
      </c>
      <c r="G74" s="5" t="n">
        <v>-236273.64204</v>
      </c>
      <c r="H74" s="5" t="n">
        <v>0</v>
      </c>
      <c r="I74" s="5">
        <f>H74-G74</f>
        <v/>
      </c>
      <c r="J74" s="5" t="n">
        <v>-237894.6427</v>
      </c>
      <c r="K74" s="5" t="n">
        <v>0</v>
      </c>
      <c r="L74" s="5">
        <f>K74-J74</f>
        <v/>
      </c>
    </row>
    <row r="75">
      <c r="A75" s="4" t="inlineStr">
        <is>
          <t>Impostos e contribuições a recolher</t>
        </is>
      </c>
      <c r="B75" s="4" t="inlineStr">
        <is>
          <t>IRRF Sobre Nota Fiscal [VE]</t>
        </is>
      </c>
      <c r="C75" s="4" t="inlineStr">
        <is>
          <t>sem DRE</t>
        </is>
      </c>
      <c r="D75" s="5" t="n">
        <v>0</v>
      </c>
      <c r="E75" s="5" t="n">
        <v>-100.96</v>
      </c>
      <c r="F75" s="5">
        <f>E75-D75</f>
        <v/>
      </c>
      <c r="G75" s="5" t="n">
        <v>0</v>
      </c>
      <c r="H75" s="5" t="n">
        <v>-122.31</v>
      </c>
      <c r="I75" s="5">
        <f>H75-G75</f>
        <v/>
      </c>
      <c r="J75" s="5" t="n">
        <v>0</v>
      </c>
      <c r="K75" s="5" t="n">
        <v>-105.53</v>
      </c>
      <c r="L75" s="5">
        <f>K75-J75</f>
        <v/>
      </c>
    </row>
    <row r="76">
      <c r="A76" s="4" t="inlineStr">
        <is>
          <t>Impostos e contribuições a recolher</t>
        </is>
      </c>
      <c r="B76" s="4" t="inlineStr">
        <is>
          <t>Outras Retenções [VE]</t>
        </is>
      </c>
      <c r="C76" s="4" t="inlineStr">
        <is>
          <t>sem DRE</t>
        </is>
      </c>
      <c r="D76" s="5" t="n">
        <v>0</v>
      </c>
      <c r="E76" s="5" t="n">
        <v>-356.84</v>
      </c>
      <c r="F76" s="5">
        <f>E76-D76</f>
        <v/>
      </c>
      <c r="G76" s="5" t="n">
        <v>0</v>
      </c>
      <c r="H76" s="5" t="n">
        <v>-705.46</v>
      </c>
      <c r="I76" s="5">
        <f>H76-G76</f>
        <v/>
      </c>
      <c r="J76" s="5" t="n">
        <v>0</v>
      </c>
      <c r="K76" s="5" t="n">
        <v>-374.25</v>
      </c>
      <c r="L76" s="5">
        <f>K76-J76</f>
        <v/>
      </c>
    </row>
    <row r="77">
      <c r="A77" s="4" t="inlineStr">
        <is>
          <t>Impostos e contribuições a recolher</t>
        </is>
      </c>
      <c r="B77" s="4" t="inlineStr">
        <is>
          <t>Parcelamento IRPJ/CSLL [SPDX]</t>
        </is>
      </c>
      <c r="C77" s="4" t="inlineStr">
        <is>
          <t>sem DRE</t>
        </is>
      </c>
      <c r="D77" s="5" t="n">
        <v>0</v>
      </c>
      <c r="E77" s="5" t="n">
        <v>-27942.2</v>
      </c>
      <c r="F77" s="5">
        <f>E77-D77</f>
        <v/>
      </c>
      <c r="G77" s="5" t="n">
        <v>0</v>
      </c>
      <c r="H77" s="5" t="n">
        <v>-28739.43</v>
      </c>
      <c r="I77" s="5">
        <f>H77-G77</f>
        <v/>
      </c>
      <c r="J77" s="5" t="n">
        <v>0</v>
      </c>
      <c r="K77" s="5" t="n">
        <v>-29543.02</v>
      </c>
      <c r="L77" s="5">
        <f>K77-J77</f>
        <v/>
      </c>
    </row>
    <row r="78">
      <c r="A78" s="4" t="inlineStr">
        <is>
          <t>Impostos e contribuições a recolher</t>
        </is>
      </c>
      <c r="B78" s="4" t="inlineStr">
        <is>
          <t>Taxas Municipais [VE]</t>
        </is>
      </c>
      <c r="C78" s="4" t="inlineStr">
        <is>
          <t>sem DRE</t>
        </is>
      </c>
      <c r="D78" s="5" t="n">
        <v>0</v>
      </c>
      <c r="E78" s="5" t="n">
        <v>0</v>
      </c>
      <c r="F78" s="5">
        <f>E78-D78</f>
        <v/>
      </c>
      <c r="G78" s="5" t="n">
        <v>0</v>
      </c>
      <c r="H78" s="5" t="n">
        <v>-636.33</v>
      </c>
      <c r="I78" s="5">
        <f>H78-G78</f>
        <v/>
      </c>
      <c r="J78" s="5" t="n">
        <v>0</v>
      </c>
      <c r="K78" s="5" t="n">
        <v>0</v>
      </c>
      <c r="L78" s="5">
        <f>K78-J78</f>
        <v/>
      </c>
    </row>
    <row r="79">
      <c r="A79" s="4" t="inlineStr">
        <is>
          <t>Despesas Financeiras / Bancos</t>
        </is>
      </c>
      <c r="B79" s="4" t="inlineStr">
        <is>
          <t>Tarifas e IOF</t>
        </is>
      </c>
      <c r="C79" s="4" t="inlineStr">
        <is>
          <t>na DRE</t>
        </is>
      </c>
      <c r="D79" s="5" t="n">
        <v>-6179.950000000001</v>
      </c>
      <c r="E79" s="5" t="n">
        <v>-4946.03</v>
      </c>
      <c r="F79" s="5">
        <f>E79-D79</f>
        <v/>
      </c>
      <c r="G79" s="5" t="n">
        <v>-4049.19</v>
      </c>
      <c r="H79" s="5" t="n">
        <v>-3513.66</v>
      </c>
      <c r="I79" s="5">
        <f>H79-G79</f>
        <v/>
      </c>
      <c r="J79" s="5" t="n">
        <v>-3412.56</v>
      </c>
      <c r="K79" s="5" t="n">
        <v>-3377.39</v>
      </c>
      <c r="L79" s="5">
        <f>K79-J79</f>
        <v/>
      </c>
    </row>
    <row r="80">
      <c r="A80" s="4" t="inlineStr">
        <is>
          <t>Despesas Financeiras / Bancos</t>
        </is>
      </c>
      <c r="B80" s="4" t="inlineStr">
        <is>
          <t>IR s/ Aplicação Financeira [DF]</t>
        </is>
      </c>
      <c r="C80" s="4" t="inlineStr">
        <is>
          <t>sem DRE</t>
        </is>
      </c>
      <c r="D80" s="5" t="n">
        <v>0</v>
      </c>
      <c r="E80" s="5" t="n">
        <v>-116.25</v>
      </c>
      <c r="F80" s="5">
        <f>E80-D80</f>
        <v/>
      </c>
      <c r="G80" s="5" t="n">
        <v>0</v>
      </c>
      <c r="H80" s="5" t="n">
        <v>-87.69</v>
      </c>
      <c r="I80" s="5">
        <f>H80-G80</f>
        <v/>
      </c>
      <c r="J80" s="5" t="n">
        <v>0</v>
      </c>
      <c r="K80" s="5" t="n">
        <v>-24.55</v>
      </c>
      <c r="L80" s="5">
        <f>K80-J80</f>
        <v/>
      </c>
    </row>
    <row r="81">
      <c r="A81" s="4" t="inlineStr">
        <is>
          <t>Despesas Financeiras / Bancos</t>
        </is>
      </c>
      <c r="B81" s="4" t="inlineStr">
        <is>
          <t>IR s/ Aplicação Financeira [SPDX]</t>
        </is>
      </c>
      <c r="C81" s="4" t="inlineStr">
        <is>
          <t>sem DRE</t>
        </is>
      </c>
      <c r="D81" s="5" t="n">
        <v>0</v>
      </c>
      <c r="E81" s="5" t="n">
        <v>-519.8</v>
      </c>
      <c r="F81" s="5">
        <f>E81-D81</f>
        <v/>
      </c>
      <c r="G81" s="5" t="n">
        <v>0</v>
      </c>
      <c r="H81" s="5" t="n">
        <v>-2504.39</v>
      </c>
      <c r="I81" s="5">
        <f>H81-G81</f>
        <v/>
      </c>
      <c r="J81" s="5" t="n">
        <v>0</v>
      </c>
      <c r="K81" s="5" t="n">
        <v>-705.3299999999999</v>
      </c>
      <c r="L81" s="5">
        <f>K81-J81</f>
        <v/>
      </c>
    </row>
    <row r="82">
      <c r="A82" s="4" t="inlineStr">
        <is>
          <t>Despesas Financeiras / Bancos</t>
        </is>
      </c>
      <c r="B82" s="4" t="inlineStr">
        <is>
          <t>IR s/ Aplicação Financeira [VE]</t>
        </is>
      </c>
      <c r="C82" s="4" t="inlineStr">
        <is>
          <t>sem DRE</t>
        </is>
      </c>
      <c r="D82" s="5" t="n">
        <v>0</v>
      </c>
      <c r="E82" s="5" t="n">
        <v>-392.27</v>
      </c>
      <c r="F82" s="5">
        <f>E82-D82</f>
        <v/>
      </c>
      <c r="G82" s="5" t="n">
        <v>0</v>
      </c>
      <c r="H82" s="5" t="n">
        <v>-4795.42</v>
      </c>
      <c r="I82" s="5">
        <f>H82-G82</f>
        <v/>
      </c>
      <c r="J82" s="5" t="n">
        <v>0</v>
      </c>
      <c r="K82" s="5" t="n">
        <v>-1502.88</v>
      </c>
      <c r="L82" s="5">
        <f>K82-J82</f>
        <v/>
      </c>
    </row>
    <row r="83">
      <c r="A83" s="4" t="inlineStr">
        <is>
          <t>Doações</t>
        </is>
      </c>
      <c r="B83" s="4" t="inlineStr">
        <is>
          <t>Doações</t>
        </is>
      </c>
      <c r="C83" s="4" t="inlineStr">
        <is>
          <t>na DRE</t>
        </is>
      </c>
      <c r="D83" s="5" t="n">
        <v>-362.7</v>
      </c>
      <c r="E83" s="5" t="n">
        <v>-362.7</v>
      </c>
      <c r="F83" s="5">
        <f>E83-D83</f>
        <v/>
      </c>
      <c r="G83" s="5" t="n">
        <v>-732.34</v>
      </c>
      <c r="H83" s="5" t="n">
        <v>-732.34</v>
      </c>
      <c r="I83" s="5">
        <f>H83-G83</f>
        <v/>
      </c>
      <c r="J83" s="5" t="n">
        <v>-1639.1</v>
      </c>
      <c r="K83" s="5" t="n">
        <v>-12009.88</v>
      </c>
      <c r="L83" s="5">
        <f>K83-J83</f>
        <v/>
      </c>
    </row>
    <row r="84">
      <c r="A84" s="4" t="inlineStr">
        <is>
          <t>P&amp;D</t>
        </is>
      </c>
      <c r="B84" s="4" t="inlineStr">
        <is>
          <t>P&amp;D</t>
        </is>
      </c>
      <c r="C84" s="4" t="inlineStr">
        <is>
          <t>na DRE</t>
        </is>
      </c>
      <c r="D84" s="5" t="n">
        <v>-42.96</v>
      </c>
      <c r="E84" s="5" t="n">
        <v>0</v>
      </c>
      <c r="F84" s="5">
        <f>E84-D84</f>
        <v/>
      </c>
      <c r="G84" s="5" t="n">
        <v>-2225.94</v>
      </c>
      <c r="H84" s="5" t="n">
        <v>0</v>
      </c>
      <c r="I84" s="5">
        <f>H84-G84</f>
        <v/>
      </c>
      <c r="J84" s="5" t="n">
        <v>-364.45</v>
      </c>
      <c r="K84" s="5" t="n">
        <v>0</v>
      </c>
      <c r="L84" s="5">
        <f>K84-J84</f>
        <v/>
      </c>
    </row>
    <row r="85">
      <c r="A85" s="4" t="inlineStr">
        <is>
          <t>Devoluções de Vendas</t>
        </is>
      </c>
      <c r="B85" s="4" t="inlineStr">
        <is>
          <t>Devoluções</t>
        </is>
      </c>
      <c r="C85" s="4" t="inlineStr">
        <is>
          <t>na DRE</t>
        </is>
      </c>
      <c r="D85" s="5" t="n">
        <v>-5960.77</v>
      </c>
      <c r="E85" s="5" t="n">
        <v>-5960.77</v>
      </c>
      <c r="F85" s="5">
        <f>E85-D85</f>
        <v/>
      </c>
      <c r="G85" s="5" t="n">
        <v>-120802.59</v>
      </c>
      <c r="H85" s="5" t="n">
        <v>-802.5899999999999</v>
      </c>
      <c r="I85" s="5">
        <f>H85-G85</f>
        <v/>
      </c>
      <c r="J85" s="5" t="n">
        <v>-2177.59</v>
      </c>
      <c r="K85" s="5" t="n">
        <v>-2177.59</v>
      </c>
      <c r="L85" s="5">
        <f>K85-J85</f>
        <v/>
      </c>
    </row>
    <row r="86">
      <c r="A86" s="4" t="inlineStr">
        <is>
          <t>Receitas não operacionais</t>
        </is>
      </c>
      <c r="B86" s="4" t="inlineStr">
        <is>
          <t>Receitas Não Operacionais</t>
        </is>
      </c>
      <c r="C86" s="4" t="inlineStr">
        <is>
          <t>na DRE</t>
        </is>
      </c>
      <c r="D86" s="5" t="n">
        <v>68489.92999999999</v>
      </c>
      <c r="E86" s="5" t="n">
        <v>68952.73000000001</v>
      </c>
      <c r="F86" s="5">
        <f>E86-D86</f>
        <v/>
      </c>
      <c r="G86" s="5" t="n">
        <v>57766.72</v>
      </c>
      <c r="H86" s="5" t="n">
        <v>40064.09</v>
      </c>
      <c r="I86" s="5">
        <f>H86-G86</f>
        <v/>
      </c>
      <c r="J86" s="5" t="n">
        <v>56953.42999999999</v>
      </c>
      <c r="K86" s="5" t="n">
        <v>70163.12000000001</v>
      </c>
      <c r="L86" s="5">
        <f>K86-J86</f>
        <v/>
      </c>
    </row>
    <row r="87">
      <c r="A87" s="4" t="inlineStr">
        <is>
          <t>Receitas não operacionais</t>
        </is>
      </c>
      <c r="B87" s="4" t="inlineStr">
        <is>
          <t>Bloqueio Judicial [VE]</t>
        </is>
      </c>
      <c r="C87" s="4" t="inlineStr">
        <is>
          <t>sem DRE</t>
        </is>
      </c>
      <c r="D87" s="5" t="n">
        <v>0</v>
      </c>
      <c r="E87" s="5" t="n">
        <v>0</v>
      </c>
      <c r="F87" s="5">
        <f>E87-D87</f>
        <v/>
      </c>
      <c r="G87" s="5" t="n">
        <v>0</v>
      </c>
      <c r="H87" s="5" t="n">
        <v>0</v>
      </c>
      <c r="I87" s="5">
        <f>H87-G87</f>
        <v/>
      </c>
      <c r="J87" s="5" t="n">
        <v>0</v>
      </c>
      <c r="K87" s="5" t="n">
        <v>-64708.41</v>
      </c>
      <c r="L87" s="5">
        <f>K87-J87</f>
        <v/>
      </c>
    </row>
    <row r="89">
      <c r="A89" s="2" t="inlineStr">
        <is>
          <t>Transferências aparecem com entrada e saída separadas por empresa; entre contas do grupo elas se anulam. "Receita SPDX" é comparada ao saque de rendimento das contas Unificadas.</t>
        </is>
      </c>
    </row>
  </sheetData>
  <autoFilter ref="A1:L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60" customWidth="1" min="3" max="3"/>
    <col width="70" customWidth="1" min="4" max="4"/>
    <col width="14" customWidth="1" min="5" max="5"/>
  </cols>
  <sheetData>
    <row r="1">
      <c r="A1" s="3" t="inlineStr">
        <is>
          <t>#</t>
        </is>
      </c>
      <c r="B1" s="3" t="inlineStr">
        <is>
          <t>Onde</t>
        </is>
      </c>
      <c r="C1" s="3" t="inlineStr">
        <is>
          <t>O que fazer</t>
        </is>
      </c>
      <c r="D1" s="3" t="inlineStr">
        <is>
          <t>Por quê</t>
        </is>
      </c>
      <c r="E1" s="3" t="inlineStr">
        <is>
          <t>Valor (R$)</t>
        </is>
      </c>
    </row>
    <row r="2">
      <c r="A2" s="12" t="n">
        <v>1</v>
      </c>
      <c r="B2" s="7" t="inlineStr">
        <is>
          <t>Lançamentos — V Company, abr/2026, "Saída de Transferência (*)", obs. "TESTE MARINA"</t>
        </is>
      </c>
      <c r="C2" s="7" t="inlineStr">
        <is>
          <t>Excluir do DFC de 2026 (ou tratar como ajuste de saldo inicial).</t>
        </is>
      </c>
      <c r="D2" s="7" t="inlineStr">
        <is>
          <t>São correções de saldo de faturas de cartão de 2024, não movimento de caixa de 2026. Distorcem Contas a receber do 2º tri.</t>
        </is>
      </c>
      <c r="E2" s="13" t="n">
        <v>-134474.42</v>
      </c>
    </row>
    <row r="3">
      <c r="A3" s="12" t="n">
        <v>2</v>
      </c>
      <c r="B3" s="7" t="inlineStr">
        <is>
          <t>Lançamentos — V E, 16/07, PIX enviado de R$ 85 mil ("PIX ENVIADO 1607 1547 V EVENTOS BRASIL LTDA")</t>
        </is>
      </c>
      <c r="C3" s="7" t="inlineStr">
        <is>
          <t>Identificar a conta de destino.</t>
        </is>
      </c>
      <c r="D3" s="7" t="inlineStr">
        <is>
          <t>Saída de transferência sem entrada correspondente em nenhuma conta da planilha.</t>
        </is>
      </c>
      <c r="E3" s="13" t="n">
        <v>-85000</v>
      </c>
    </row>
    <row r="4">
      <c r="A4" s="12" t="n">
        <v>3</v>
      </c>
      <c r="B4" s="7" t="inlineStr">
        <is>
          <t>Lançamentos — Bloqueio judicial (set) e Desbloqueio judicial (set)</t>
        </is>
      </c>
      <c r="C4" s="7" t="inlineStr">
        <is>
          <t>Lançar os dois no mesmo vínculo (ex.: "Depósitos judiciais").</t>
        </is>
      </c>
      <c r="D4" s="7" t="inlineStr">
        <is>
          <t>Hoje o bloqueio está em Receitas não operacionais e o desbloqueio em Outras despesas.</t>
        </is>
      </c>
      <c r="E4" s="13" t="n">
        <v>-47396</v>
      </c>
    </row>
    <row r="5">
      <c r="A5" s="12" t="n">
        <v>4</v>
      </c>
      <c r="B5" s="7" t="inlineStr">
        <is>
          <t>Lançamentos — Rendimentos de Aplicações</t>
        </is>
      </c>
      <c r="C5" s="7" t="inlineStr">
        <is>
          <t>Tirar de "Contas a receber de clientes" e criar um vínculo de resultado financeiro.</t>
        </is>
      </c>
      <c r="D5" s="7" t="inlineStr">
        <is>
          <t>É receita financeira, não recebimento de cliente.</t>
        </is>
      </c>
      <c r="E5" s="13" t="n">
        <v>82677.75999999999</v>
      </c>
    </row>
    <row r="6">
      <c r="A6" s="12" t="n">
        <v>5</v>
      </c>
      <c r="B6" s="7" t="inlineStr">
        <is>
          <t>Lançamentos — Comissões de set em "Salários, provisões e encargos sociais"</t>
        </is>
      </c>
      <c r="C6" s="7" t="inlineStr">
        <is>
          <t>Mover para Despesas Diretas.</t>
        </is>
      </c>
      <c r="D6" s="7" t="inlineStr">
        <is>
          <t>Na DRE, comissão é custo direto.</t>
        </is>
      </c>
      <c r="E6" s="13" t="n">
        <v>-21000</v>
      </c>
    </row>
    <row r="7">
      <c r="A7" s="12" t="n">
        <v>6</v>
      </c>
      <c r="B7" s="7" t="inlineStr">
        <is>
          <t>Omie — plano de saúde Sabin Sinai na categoria "Pró Labore Sócios"</t>
        </is>
      </c>
      <c r="C7" s="7" t="inlineStr">
        <is>
          <t>Usar a categoria de Assistência Médica.</t>
        </is>
      </c>
      <c r="D7" s="7" t="inlineStr">
        <is>
          <t>Mensalidade e coparticipação estão saindo como pró-labore.</t>
        </is>
      </c>
      <c r="E7" s="13" t="n"/>
    </row>
    <row r="8">
      <c r="A8" s="12" t="n">
        <v>7</v>
      </c>
      <c r="B8" s="7" t="inlineStr">
        <is>
          <t>DRE — mapeamento de categorias</t>
        </is>
      </c>
      <c r="C8" s="7" t="inlineStr">
        <is>
          <t>Incluir na DRE: "Marketing (*)", "Bonificações (*)", "Cobertura Fotográfica", "Assistência Médica / Salários" e "/ Pró Labore", e conferir a linha "Renovação de Franquias" (zerada o ano todo, mas houve R$ 60 mil recebidos).</t>
        </is>
      </c>
      <c r="D8" s="7" t="inlineStr">
        <is>
          <t>São despesas e receitas recorrentes que só aparecem no caixa.</t>
        </is>
      </c>
      <c r="E8" s="13" t="n"/>
    </row>
    <row r="9">
      <c r="A9" s="12" t="n">
        <v>8</v>
      </c>
      <c r="B9" s="7" t="inlineStr">
        <is>
          <t>DRE — devolução de vendas de jun (R$ 120,3 mil)</t>
        </is>
      </c>
      <c r="C9" s="7" t="inlineStr">
        <is>
          <t>Confirmar se foi estorno de receita sem devolução de dinheiro ou se ainda vai ser paga.</t>
        </is>
      </c>
      <c r="D9" s="7" t="inlineStr">
        <is>
          <t>Não houve saída de caixa correspondente até set.</t>
        </is>
      </c>
      <c r="E9" s="13" t="n">
        <v>120000</v>
      </c>
    </row>
    <row r="10">
      <c r="A10" s="12" t="n">
        <v>9</v>
      </c>
      <c r="B10" s="7" t="inlineStr">
        <is>
          <t>DRE — IRPJ/CSLL do 2º tri</t>
        </is>
      </c>
      <c r="C10" s="7" t="inlineStr">
        <is>
          <t>Conferir a estimativa (R$ 236 mil) contra a guia paga em julho (R$ 147 mil).</t>
        </is>
      </c>
      <c r="D10" s="7" t="inlineStr">
        <is>
          <t>A DRE pode estar superestimando o imposto do trimestre.</t>
        </is>
      </c>
      <c r="E10" s="13" t="n">
        <v>89625</v>
      </c>
    </row>
    <row r="11">
      <c r="A11" s="12" t="n">
        <v>10</v>
      </c>
      <c r="B11" s="7" t="inlineStr">
        <is>
          <t>DRE — Contratados PJ</t>
        </is>
      </c>
      <c r="C11" s="7" t="inlineStr">
        <is>
          <t>Localizar em que categoria os PJ estão sendo pagos.</t>
        </is>
      </c>
      <c r="D11" s="7" t="inlineStr">
        <is>
          <t>A DRE tem R$ 143 mil de PJ em 9 meses; a categoria no caixa soma R$ 52 mil.</t>
        </is>
      </c>
      <c r="E11" s="13" t="n">
        <v>90952</v>
      </c>
    </row>
    <row r="12">
      <c r="A12" s="12" t="n">
        <v>11</v>
      </c>
      <c r="B12" s="7" t="inlineStr">
        <is>
          <t>Leitura do DFC — rendimento dos fundos</t>
        </is>
      </c>
      <c r="C12" s="7" t="inlineStr">
        <is>
          <t>Ler Contas a receber e Impostos juntos (ou levar o IRPJ - Rendimentos para dentro de Contas a receber).</t>
        </is>
      </c>
      <c r="D12" s="7" t="inlineStr">
        <is>
          <t>O IR de ~16,3% do rendimento aparece como diferença negativa numa conta e positiva na outra.</t>
        </is>
      </c>
      <c r="E12" s="13" t="n"/>
    </row>
    <row r="13">
      <c r="A13" s="12" t="n">
        <v>12</v>
      </c>
      <c r="B13" s="7" t="inlineStr">
        <is>
          <t>Leitura do DFC — INSS de SPDX e Dataforte</t>
        </is>
      </c>
      <c r="C13" s="7" t="inlineStr">
        <is>
          <t>Comparar Impostos + INSS juntos.</t>
        </is>
      </c>
      <c r="D13" s="7" t="inlineStr">
        <is>
          <t>A DRE põe o INSS dessas empresas em Pessoal; o caixa paga dentro do DAS, em Impostos.</t>
        </is>
      </c>
      <c r="E13" s="13" t="n"/>
    </row>
    <row r="15">
      <c r="A15" s="2" t="inlineStr">
        <is>
          <t>Valor = impacto aproximado no caixa ou na diferença da conta, conforme o item. Itens sem valor são de mapeamento.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2026-10-26T13:40:39Z</dcterms:created>
  <dcterms:modified xmlns:dcterms="http://purl.org/dc/terms/" xmlns:xsi="http://www.w3.org/2001/XMLSchema-instance" xsi:type="dcterms:W3CDTF">2026-10-26T13:40:39Z</dcterms:modified>
</cp:coreProperties>
</file>